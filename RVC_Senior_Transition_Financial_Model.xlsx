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&amp; Baseline" sheetId="1" state="visible" r:id="rId3"/>
    <sheet name="Scenario Model" sheetId="2" state="visible" r:id="rId4"/>
    <sheet name="RPTL §467 Deep Dive" sheetId="3" state="visible" r:id="rId5"/>
    <sheet name="Sensitivity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<sst xmlns="http://schemas.openxmlformats.org/spreadsheetml/2006/main" count="360" uniqueCount="301">
  <si>
    <t xml:space="preserve">RVC Senior-to-Family Homeowner Transition: Financial Model</t>
  </si>
  <si>
    <t xml:space="preserve">Assumptions &amp; Baseline Data</t>
  </si>
  <si>
    <t xml:space="preserve">Model Date: March 2026 | Updated with MaryBeth Joyce / RVC Tax Calculator data</t>
  </si>
  <si>
    <t xml:space="preserve">VILLAGE &amp; HOUSING DEMOGRAPHICS</t>
  </si>
  <si>
    <t xml:space="preserve">Parameter</t>
  </si>
  <si>
    <t xml:space="preserve">Value</t>
  </si>
  <si>
    <t xml:space="preserve">Source</t>
  </si>
  <si>
    <t xml:space="preserve">Notes</t>
  </si>
  <si>
    <t xml:space="preserve">Total Population</t>
  </si>
  <si>
    <t xml:space="preserve">Census QuickFacts 2024</t>
  </si>
  <si>
    <t xml:space="preserve">Total Housing Units</t>
  </si>
  <si>
    <t xml:space="preserve">Occupied Housing Units</t>
  </si>
  <si>
    <t xml:space="preserve">Homeownership Rate</t>
  </si>
  <si>
    <t xml:space="preserve">Owner-Occupied Units</t>
  </si>
  <si>
    <t xml:space="preserve">Calculated</t>
  </si>
  <si>
    <t xml:space="preserve">Calc: B11*B10</t>
  </si>
  <si>
    <t xml:space="preserve">Population 65+</t>
  </si>
  <si>
    <t xml:space="preserve">Data USA / ACS 2024</t>
  </si>
  <si>
    <t xml:space="preserve">Health insurance proxy</t>
  </si>
  <si>
    <t xml:space="preserve">Median Household Income (All)</t>
  </si>
  <si>
    <t xml:space="preserve">Census QuickFacts 2023</t>
  </si>
  <si>
    <t xml:space="preserve">Median Age</t>
  </si>
  <si>
    <t xml:space="preserve">Data USA 2024</t>
  </si>
  <si>
    <t xml:space="preserve">Est. Senior (65+) Homeowner Parcels</t>
  </si>
  <si>
    <t xml:space="preserve">Conservatively ~18% of owner-occ</t>
  </si>
  <si>
    <t xml:space="preserve">Est. Senior Homeowner Parcels (count)</t>
  </si>
  <si>
    <t xml:space="preserve">Calc: B11*0.18</t>
  </si>
  <si>
    <t xml:space="preserve">RVC SCHOOL DISTRICT FINANCIALS (2025-26)</t>
  </si>
  <si>
    <t xml:space="preserve">Total Budget</t>
  </si>
  <si>
    <t xml:space="preserve">LI Herald / District</t>
  </si>
  <si>
    <t xml:space="preserve">$139.89M approved May 2025</t>
  </si>
  <si>
    <t xml:space="preserve">Property Tax Levy</t>
  </si>
  <si>
    <t xml:space="preserve">~78% of budget</t>
  </si>
  <si>
    <t xml:space="preserve">Tax Levy Increase (YoY)</t>
  </si>
  <si>
    <t xml:space="preserve">LI Herald</t>
  </si>
  <si>
    <t xml:space="preserve">2.6% for 2025-26</t>
  </si>
  <si>
    <t xml:space="preserve">State Aid (Foundation + Expense)</t>
  </si>
  <si>
    <t xml:space="preserve">Estimated</t>
  </si>
  <si>
    <t xml:space="preserve">~15.7% of budget</t>
  </si>
  <si>
    <t xml:space="preserve">Other Revenue</t>
  </si>
  <si>
    <t xml:space="preserve">Calc: B20-B21-B23</t>
  </si>
  <si>
    <t xml:space="preserve">K-12 Enrollment (2025-26)</t>
  </si>
  <si>
    <t xml:space="preserve">LI Herald / US News</t>
  </si>
  <si>
    <t xml:space="preserve">Declining ~30/yr</t>
  </si>
  <si>
    <t xml:space="preserve">Projected Enrollment (2026-27)</t>
  </si>
  <si>
    <t xml:space="preserve">Down ~50 from 2025-26</t>
  </si>
  <si>
    <t xml:space="preserve">Per-Pupil Spending</t>
  </si>
  <si>
    <t xml:space="preserve">Calc: B20/B25</t>
  </si>
  <si>
    <t xml:space="preserve">Out-of-District SpEd Cost</t>
  </si>
  <si>
    <t xml:space="preserve">$6.38M projected 2026-27</t>
  </si>
  <si>
    <t xml:space="preserve">Allowable Tax Levy (2026-27)</t>
  </si>
  <si>
    <t xml:space="preserve">2.45% increase</t>
  </si>
  <si>
    <t xml:space="preserve">Projected Deficit (2026-27)</t>
  </si>
  <si>
    <t xml:space="preserve">$3.78M shortfall</t>
  </si>
  <si>
    <t xml:space="preserve">RPTL §467 &amp; STAR EXEMPTION PARAMETERS</t>
  </si>
  <si>
    <t xml:space="preserve">RVC §467 Max Income for 50% Exemption</t>
  </si>
  <si>
    <t xml:space="preserve">RVC Tax Office</t>
  </si>
  <si>
    <t xml:space="preserve">2024 income / 2025-26 tax year</t>
  </si>
  <si>
    <t xml:space="preserve">§467 Sliding Scale Option Adopted</t>
  </si>
  <si>
    <t xml:space="preserve">Yes (Option 3)</t>
  </si>
  <si>
    <t xml:space="preserve">Nassau County / RVC</t>
  </si>
  <si>
    <t xml:space="preserve">Full sliding scale to 5%</t>
  </si>
  <si>
    <t xml:space="preserve">§467 Sliding Scale Max Income</t>
  </si>
  <si>
    <t xml:space="preserve">Calc: B35+8400</t>
  </si>
  <si>
    <t xml:space="preserve">Enhanced STAR Income Limit</t>
  </si>
  <si>
    <t xml:space="preserve">NYS DTF</t>
  </si>
  <si>
    <t xml:space="preserve">2026 threshold</t>
  </si>
  <si>
    <t xml:space="preserve">Enhanced STAR Exemption Amount (AV)</t>
  </si>
  <si>
    <t xml:space="preserve">Class 1, Nassau County</t>
  </si>
  <si>
    <t xml:space="preserve">Basic STAR Exemption Amount (AV)</t>
  </si>
  <si>
    <t xml:space="preserve">Enhanced STAR Max School Tax Savings</t>
  </si>
  <si>
    <t xml:space="preserve">2025-26, Class 1</t>
  </si>
  <si>
    <t xml:space="preserve">Basic STAR Max School Tax Savings</t>
  </si>
  <si>
    <t xml:space="preserve">Avg School Tax on Median Home (no exemptions)</t>
  </si>
  <si>
    <t xml:space="preserve">Based on $109M levy / ~7,000 parcels</t>
  </si>
  <si>
    <t xml:space="preserve">Avg Enhanced STAR + §467 Combined Savings</t>
  </si>
  <si>
    <t xml:space="preserve">STAR $2,856 + §467 ~$2,600</t>
  </si>
  <si>
    <t xml:space="preserve">Effective Senior School Tax (with exemptions)</t>
  </si>
  <si>
    <t xml:space="preserve">Calc: B43-B44</t>
  </si>
  <si>
    <t xml:space="preserve">Tax Revenue Lost Per Exempt Senior Parcel</t>
  </si>
  <si>
    <t xml:space="preserve">Calc: B44</t>
  </si>
  <si>
    <t xml:space="preserve">Senior-to-Family Homeowner Replacement: Scenario Analysis</t>
  </si>
  <si>
    <t xml:space="preserve">Impact on RVC School District Revenue, Enrollment &amp; Per-Pupil Spending</t>
  </si>
  <si>
    <t xml:space="preserve">Metric</t>
  </si>
  <si>
    <t xml:space="preserve">Baseline
(Current)</t>
  </si>
  <si>
    <t xml:space="preserve">10%
Replacement</t>
  </si>
  <si>
    <t xml:space="preserve">20%
Replacement</t>
  </si>
  <si>
    <t xml:space="preserve">30%
Replacement</t>
  </si>
  <si>
    <t xml:space="preserve">40%
Replacement</t>
  </si>
  <si>
    <t xml:space="preserve">50%
Replacement</t>
  </si>
  <si>
    <t xml:space="preserve">HOUSING STOCK TRANSITION</t>
  </si>
  <si>
    <t xml:space="preserve">Est. Senior Exempt Parcels</t>
  </si>
  <si>
    <t xml:space="preserve">Replacement Rate</t>
  </si>
  <si>
    <t xml:space="preserve">Parcels Transitioned to Families</t>
  </si>
  <si>
    <t xml:space="preserve">Remaining Senior Exempt Parcels</t>
  </si>
  <si>
    <t xml:space="preserve">New Family Parcels (2-child avg)</t>
  </si>
  <si>
    <t xml:space="preserve">SCHOOL TAX REVENUE IMPACT</t>
  </si>
  <si>
    <t xml:space="preserve">Add'l Revenue per Transitioned Parcel</t>
  </si>
  <si>
    <t xml:space="preserve">Total Additional School Tax Revenue</t>
  </si>
  <si>
    <t xml:space="preserve">Current School Tax Levy</t>
  </si>
  <si>
    <t xml:space="preserve">New Effective School Tax Levy</t>
  </si>
  <si>
    <t xml:space="preserve">Levy Increase (%)</t>
  </si>
  <si>
    <t xml:space="preserve">2026-27 Deficit Coverage ($3.78M)</t>
  </si>
  <si>
    <t xml:space="preserve">ENROLLMENT &amp; PER-PUPIL IMPACT</t>
  </si>
  <si>
    <t xml:space="preserve">Current K-12 Enrollment</t>
  </si>
  <si>
    <t xml:space="preserve">New Students (2 per family)</t>
  </si>
  <si>
    <t xml:space="preserve">K-12 Enrollment Adj. Factor (70% school-age)</t>
  </si>
  <si>
    <t xml:space="preserve">Adj. New K-12 Students</t>
  </si>
  <si>
    <t xml:space="preserve">New Total K-12 Enrollment</t>
  </si>
  <si>
    <t xml:space="preserve">Enrollment Change (%)</t>
  </si>
  <si>
    <t xml:space="preserve">Current Per-Pupil Spending</t>
  </si>
  <si>
    <t xml:space="preserve">New Total Budget (Revenue-Adjusted)</t>
  </si>
  <si>
    <t xml:space="preserve">New Per-Pupil Spending (Rev+Enroll adj)</t>
  </si>
  <si>
    <t xml:space="preserve">Per-Pupil Change ($)</t>
  </si>
  <si>
    <t xml:space="preserve">Per-Pupil Change (%)</t>
  </si>
  <si>
    <t xml:space="preserve">DOWNSTREAM TAX &amp; SERVICE IMPACTS</t>
  </si>
  <si>
    <t xml:space="preserve">Village General Tax: Add'l Revenue (§467 recapture)</t>
  </si>
  <si>
    <t xml:space="preserve">Nassau County Tax: Add'l Revenue (§467 recapture)</t>
  </si>
  <si>
    <t xml:space="preserve">Total Tax Revenue Recapture (All Levels)</t>
  </si>
  <si>
    <t xml:space="preserve">Est. Household Consumer Spending (annual)</t>
  </si>
  <si>
    <t xml:space="preserve">One-Time: NYS Transfer Tax Revenue</t>
  </si>
  <si>
    <t xml:space="preserve">Est. Add'l School Capacity Cost (one-time)</t>
  </si>
  <si>
    <t xml:space="preserve">NET FISCAL SUMMARY</t>
  </si>
  <si>
    <t xml:space="preserve">Net Annual Revenue Gain (All Tax Levels)</t>
  </si>
  <si>
    <t xml:space="preserve">School District: Net Annual Revenue Gain</t>
  </si>
  <si>
    <t xml:space="preserve">Revenue per New Student Added</t>
  </si>
  <si>
    <t xml:space="preserve">Revenue-to-Marginal-Cost Ratio</t>
  </si>
  <si>
    <t xml:space="preserve">RPTL §467 Senior Citizens Exemption: RVC Implementation</t>
  </si>
  <si>
    <t xml:space="preserve">RVC §467 SLIDING SCALE (OPTION 3)</t>
  </si>
  <si>
    <t xml:space="preserve">Income Range</t>
  </si>
  <si>
    <t xml:space="preserve">Exemption %</t>
  </si>
  <si>
    <t xml:space="preserve">Est. Assessed Value Reduction</t>
  </si>
  <si>
    <t xml:space="preserve">Est. Annual Tax Savings</t>
  </si>
  <si>
    <t xml:space="preserve">≤ $58,399</t>
  </si>
  <si>
    <t xml:space="preserve">50%</t>
  </si>
  <si>
    <t xml:space="preserve">$362,500</t>
  </si>
  <si>
    <t xml:space="preserve">$7,750</t>
  </si>
  <si>
    <t xml:space="preserve">Maximum exemption</t>
  </si>
  <si>
    <t xml:space="preserve">$58,400 - $59,399</t>
  </si>
  <si>
    <t xml:space="preserve">45%</t>
  </si>
  <si>
    <t xml:space="preserve">$326,250</t>
  </si>
  <si>
    <t xml:space="preserve">$6,975</t>
  </si>
  <si>
    <t xml:space="preserve">Option 1 tier</t>
  </si>
  <si>
    <t xml:space="preserve">$59,400 - $60,399</t>
  </si>
  <si>
    <t xml:space="preserve">40%</t>
  </si>
  <si>
    <t xml:space="preserve">$290,000</t>
  </si>
  <si>
    <t xml:space="preserve">$6,200</t>
  </si>
  <si>
    <t xml:space="preserve">$60,400 - $61,399</t>
  </si>
  <si>
    <t xml:space="preserve">35%</t>
  </si>
  <si>
    <t xml:space="preserve">$253,750</t>
  </si>
  <si>
    <t xml:space="preserve">$5,425</t>
  </si>
  <si>
    <t xml:space="preserve">$61,400 - $62,299</t>
  </si>
  <si>
    <t xml:space="preserve">30%</t>
  </si>
  <si>
    <t xml:space="preserve">$217,500</t>
  </si>
  <si>
    <t xml:space="preserve">$4,650</t>
  </si>
  <si>
    <t xml:space="preserve">$62,300 - $63,199</t>
  </si>
  <si>
    <t xml:space="preserve">25%</t>
  </si>
  <si>
    <t xml:space="preserve">$181,250</t>
  </si>
  <si>
    <t xml:space="preserve">$3,875</t>
  </si>
  <si>
    <t xml:space="preserve">$63,200 - $64,099</t>
  </si>
  <si>
    <t xml:space="preserve">20%</t>
  </si>
  <si>
    <t xml:space="preserve">$145,000</t>
  </si>
  <si>
    <t xml:space="preserve">$3,100</t>
  </si>
  <si>
    <t xml:space="preserve">$64,100 - $64,999</t>
  </si>
  <si>
    <t xml:space="preserve">15%</t>
  </si>
  <si>
    <t xml:space="preserve">$108,750</t>
  </si>
  <si>
    <t xml:space="preserve">$2,325</t>
  </si>
  <si>
    <t xml:space="preserve">Option 2 tier</t>
  </si>
  <si>
    <t xml:space="preserve">$65,000 - $65,899</t>
  </si>
  <si>
    <t xml:space="preserve">10%</t>
  </si>
  <si>
    <t xml:space="preserve">$72,500</t>
  </si>
  <si>
    <t xml:space="preserve">$1,550</t>
  </si>
  <si>
    <t xml:space="preserve">$65,900 - $66,799</t>
  </si>
  <si>
    <t xml:space="preserve">5%</t>
  </si>
  <si>
    <t xml:space="preserve">$36,250</t>
  </si>
  <si>
    <t xml:space="preserve">$775</t>
  </si>
  <si>
    <t xml:space="preserve">Option 3 tier</t>
  </si>
  <si>
    <t xml:space="preserve">&gt; $66,799</t>
  </si>
  <si>
    <t xml:space="preserve">0%</t>
  </si>
  <si>
    <t xml:space="preserve">$0</t>
  </si>
  <si>
    <t xml:space="preserve">No §467 exemption</t>
  </si>
  <si>
    <t xml:space="preserve">STAR + §467 COMBINED EFFECT</t>
  </si>
  <si>
    <t xml:space="preserve">Scenario</t>
  </si>
  <si>
    <t xml:space="preserve">§467 Savings</t>
  </si>
  <si>
    <t xml:space="preserve">STAR Savings</t>
  </si>
  <si>
    <t xml:space="preserve">Total Savings</t>
  </si>
  <si>
    <t xml:space="preserve">Effective Tax Rate</t>
  </si>
  <si>
    <t xml:space="preserve">Senior, income ≤$58K, Enhanced STAR</t>
  </si>
  <si>
    <t xml:space="preserve">$2,856</t>
  </si>
  <si>
    <t xml:space="preserve">$10,606</t>
  </si>
  <si>
    <t xml:space="preserve">~32%</t>
  </si>
  <si>
    <t xml:space="preserve">Senior, income $62K, Enhanced STAR</t>
  </si>
  <si>
    <t xml:space="preserve">$7,506</t>
  </si>
  <si>
    <t xml:space="preserve">~52%</t>
  </si>
  <si>
    <t xml:space="preserve">Senior, income $66K, Enhanced STAR</t>
  </si>
  <si>
    <t xml:space="preserve">$3,631</t>
  </si>
  <si>
    <t xml:space="preserve">~77%</t>
  </si>
  <si>
    <t xml:space="preserve">Senior, income &gt;$110K, Basic STAR only</t>
  </si>
  <si>
    <t xml:space="preserve">$1,068</t>
  </si>
  <si>
    <t xml:space="preserve">~93%</t>
  </si>
  <si>
    <t xml:space="preserve">Non-senior homeowner, Basic STAR</t>
  </si>
  <si>
    <t xml:space="preserve">Non-senior homeowner, no STAR (new)</t>
  </si>
  <si>
    <t xml:space="preserve">100%</t>
  </si>
  <si>
    <t xml:space="preserve">LEGAL AUTHORITY &amp; GOVERNANCE</t>
  </si>
  <si>
    <t xml:space="preserve">Item</t>
  </si>
  <si>
    <t xml:space="preserve">Detail</t>
  </si>
  <si>
    <t xml:space="preserve">Authority</t>
  </si>
  <si>
    <t xml:space="preserve">State Enabling Statute</t>
  </si>
  <si>
    <t xml:space="preserve">RPTL §467</t>
  </si>
  <si>
    <t xml:space="preserve">State legislature</t>
  </si>
  <si>
    <t xml:space="preserve">Authorizes but does not mandate</t>
  </si>
  <si>
    <t xml:space="preserve">Local Adoption Required</t>
  </si>
  <si>
    <t xml:space="preserve">Yes - local law/resolution</t>
  </si>
  <si>
    <t xml:space="preserve">Village Board / School Board</t>
  </si>
  <si>
    <t xml:space="preserve">Each taxing jurisdiction opts in independently</t>
  </si>
  <si>
    <t xml:space="preserve">RVC Village: Adopted?</t>
  </si>
  <si>
    <t xml:space="preserve">Yes</t>
  </si>
  <si>
    <t xml:space="preserve">Village of RVC</t>
  </si>
  <si>
    <t xml:space="preserve">Applies to village general tax</t>
  </si>
  <si>
    <t xml:space="preserve">RVC School District: Adopted?</t>
  </si>
  <si>
    <t xml:space="preserve">RVC School Board</t>
  </si>
  <si>
    <t xml:space="preserve">Applies to school tax</t>
  </si>
  <si>
    <t xml:space="preserve">Town of Hempstead: Adopted?</t>
  </si>
  <si>
    <t xml:space="preserve">Town Board</t>
  </si>
  <si>
    <t xml:space="preserve">Applies to town tax</t>
  </si>
  <si>
    <t xml:space="preserve">Nassau County: Adopted?</t>
  </si>
  <si>
    <t xml:space="preserve">County Legislature</t>
  </si>
  <si>
    <t xml:space="preserve">Applies to county tax</t>
  </si>
  <si>
    <t xml:space="preserve">Income Threshold Set By</t>
  </si>
  <si>
    <t xml:space="preserve">Each jurisdiction independently</t>
  </si>
  <si>
    <t xml:space="preserve">Local discretion</t>
  </si>
  <si>
    <t xml:space="preserve">Can differ across overlapping jurisdictions</t>
  </si>
  <si>
    <t xml:space="preserve">Sliding Scale Option</t>
  </si>
  <si>
    <t xml:space="preserve">Local choice (Options 1-3)</t>
  </si>
  <si>
    <t xml:space="preserve">RVC uses Option 3 (full scale)</t>
  </si>
  <si>
    <t xml:space="preserve">Annual Renewal Required?</t>
  </si>
  <si>
    <t xml:space="preserve">Yes (unless 5-yr waiver adopted)</t>
  </si>
  <si>
    <t xml:space="preserve">RPTL §467(7)</t>
  </si>
  <si>
    <t xml:space="preserve">Nassau files with county assessor</t>
  </si>
  <si>
    <t xml:space="preserve">Can Be Repealed?</t>
  </si>
  <si>
    <t xml:space="preserve">Yes - by local law/resolution</t>
  </si>
  <si>
    <t xml:space="preserve">Same body that adopted</t>
  </si>
  <si>
    <t xml:space="preserve">Requires public hearing</t>
  </si>
  <si>
    <t xml:space="preserve">Model Sensitivity Analysis &amp; Key Assumptions</t>
  </si>
  <si>
    <t xml:space="preserve">KEY VARIABLE SENSITIVITY</t>
  </si>
  <si>
    <t xml:space="preserve">Variable</t>
  </si>
  <si>
    <t xml:space="preserve">Low Estimate</t>
  </si>
  <si>
    <t xml:space="preserve">Base Case</t>
  </si>
  <si>
    <t xml:space="preserve">High Estimate / Notes</t>
  </si>
  <si>
    <t xml:space="preserve">Senior exempt parcels (count)</t>
  </si>
  <si>
    <t xml:space="preserve">1,200</t>
  </si>
  <si>
    <t xml:space="preserve">1,342</t>
  </si>
  <si>
    <t xml:space="preserve">1,600 (if &gt;65 ownership rate higher)</t>
  </si>
  <si>
    <t xml:space="preserve">Avg exemption savings per senior parcel</t>
  </si>
  <si>
    <t xml:space="preserve">$3,500</t>
  </si>
  <si>
    <t xml:space="preserve">$5,500</t>
  </si>
  <si>
    <t xml:space="preserve">$7,500 (depends on income distribution)</t>
  </si>
  <si>
    <t xml:space="preserve">Children per new family</t>
  </si>
  <si>
    <t xml:space="preserve">1.5</t>
  </si>
  <si>
    <t xml:space="preserve">2.0</t>
  </si>
  <si>
    <t xml:space="preserve">2.5</t>
  </si>
  <si>
    <t xml:space="preserve">% of children that are K-12 age</t>
  </si>
  <si>
    <t xml:space="preserve">60%</t>
  </si>
  <si>
    <t xml:space="preserve">70%</t>
  </si>
  <si>
    <t xml:space="preserve">80%</t>
  </si>
  <si>
    <t xml:space="preserve">Marginal cost per new student</t>
  </si>
  <si>
    <t xml:space="preserve">$8,000</t>
  </si>
  <si>
    <t xml:space="preserve">$12,000</t>
  </si>
  <si>
    <t xml:space="preserve">$18,000 (if capacity additions needed)</t>
  </si>
  <si>
    <t xml:space="preserve">Village §467 savings per parcel</t>
  </si>
  <si>
    <t xml:space="preserve">$1,200</t>
  </si>
  <si>
    <t xml:space="preserve">$1,800</t>
  </si>
  <si>
    <t xml:space="preserve">$2,400</t>
  </si>
  <si>
    <t xml:space="preserve">County §467 savings per parcel</t>
  </si>
  <si>
    <t xml:space="preserve">$600</t>
  </si>
  <si>
    <t xml:space="preserve">$900</t>
  </si>
  <si>
    <t xml:space="preserve">Net local spending per new family</t>
  </si>
  <si>
    <t xml:space="preserve">$10,000</t>
  </si>
  <si>
    <t xml:space="preserve">$15,000</t>
  </si>
  <si>
    <t xml:space="preserve">$20,000</t>
  </si>
  <si>
    <t xml:space="preserve">Avg home sale price (for transfer tax)</t>
  </si>
  <si>
    <t xml:space="preserve">$550,000</t>
  </si>
  <si>
    <t xml:space="preserve">$700,000</t>
  </si>
  <si>
    <t xml:space="preserve">$900,000</t>
  </si>
  <si>
    <t xml:space="preserve">Time horizon for full transition</t>
  </si>
  <si>
    <t xml:space="preserve">5 years</t>
  </si>
  <si>
    <t xml:space="preserve">10 years</t>
  </si>
  <si>
    <t xml:space="preserve">20 years (natural attrition only)</t>
  </si>
  <si>
    <t xml:space="preserve">MODEL ASSUMPTIONS &amp; LIMITATIONS</t>
  </si>
  <si>
    <t xml:space="preserve">1. Senior exempt parcel count estimated at 18% of owner-occupied units based on 19.6% population 65+ and higher homeownership rates among seniors.</t>
  </si>
  <si>
    <t xml:space="preserve">2. Not all seniors qualify for §467 (income-tested). Model assumes ~75% of senior homeowners receive some level of §467 + Enhanced STAR.</t>
  </si>
  <si>
    <t xml:space="preserve">3. Replacement families assumed to have 2 children; 70% K-12 adjustment accounts for pre-K and post-graduation children.</t>
  </si>
  <si>
    <t xml:space="preserve">4. Marginal cost per student ($12K) assumes existing capacity absorption from 288-student enrollment decline since 2016.</t>
  </si>
  <si>
    <t xml:space="preserve">5. Revenue per transitioned parcel = avg exemption savings that are 'recaptured' when non-exempt owner replaces exempt owner.</t>
  </si>
  <si>
    <t xml:space="preserve">6. Model assumes fixed assessment values; in practice, sales may trigger reassessment in Nassau County's cyclical reassessment system.</t>
  </si>
  <si>
    <t xml:space="preserve">7. STAR credits for new homeowners (post-2015 registrants) are delivered as checks, not exemptions — they reduce state cost, not local levy.</t>
  </si>
  <si>
    <t xml:space="preserve">8. Transition rates (10-50%) are illustrative. Natural attrition (death, relocation to care facilities) drives ~3-5% annual turnover in senior cohort.</t>
  </si>
  <si>
    <t xml:space="preserve">9. Village and county §467 savings estimates are rougher than school tax estimates due to different rate structures.</t>
  </si>
  <si>
    <t xml:space="preserve">10. Consumer spending estimates are net incremental (families with children vs. fixed-income seniors).</t>
  </si>
  <si>
    <t xml:space="preserve">11. This model does not account for potential assessment increases upon sale, which would further increase tax revenue.</t>
  </si>
  <si>
    <t xml:space="preserve">12. One-time transfer tax revenue would be realized in year of sale only; ongoing revenue comes from exemption recapture.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</si>
</sst>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%"/>
    <numFmt numFmtId="167" formatCode="\$#,##0"/>
    <numFmt numFmtId="168" formatCode="[$$-409]#,##0.00;[RED]\-[$$-409]#,##0.00"/>
    <numFmt numFmtId="169" formatCode="#,##0"/>
    <numFmt numFmtId="170" formatCode="0%"/>
    <numFmt numFmtId="171" formatCode="\$#,##0;&quot;($&quot;#,##0\);\-"/>
    <numFmt numFmtId="172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5" hidden="false" customHeight="true" outlineLevel="0" collapsed="false">
      <c r="A7" s="6" t="s">
        <v>8</v>
      </c>
      <c r="B7" s="6" t="n">
        <v>25770</v>
      </c>
      <c r="C7" s="6" t="s">
        <v>9</v>
      </c>
      <c r="D7" s="6"/>
    </row>
    <row r="8" customFormat="false" ht="15" hidden="false" customHeight="true" outlineLevel="0" collapsed="false">
      <c r="A8" s="6" t="s">
        <v>10</v>
      </c>
      <c r="B8" s="6" t="n">
        <v>10627</v>
      </c>
      <c r="C8" s="6" t="s">
        <v>9</v>
      </c>
      <c r="D8" s="6"/>
    </row>
    <row r="9" customFormat="false" ht="15" hidden="false" customHeight="true" outlineLevel="0" collapsed="false">
      <c r="A9" s="6" t="s">
        <v>11</v>
      </c>
      <c r="B9" s="6" t="n">
        <v>10010</v>
      </c>
      <c r="C9" s="6" t="s">
        <v>9</v>
      </c>
      <c r="D9" s="6"/>
    </row>
    <row r="10" customFormat="false" ht="15" hidden="false" customHeight="true" outlineLevel="0" collapsed="false">
      <c r="A10" s="6" t="s">
        <v>12</v>
      </c>
      <c r="B10" s="7" t="n">
        <v>0.78</v>
      </c>
      <c r="C10" s="6" t="s">
        <v>9</v>
      </c>
      <c r="D10" s="6"/>
    </row>
    <row r="11" customFormat="false" ht="15" hidden="false" customHeight="true" outlineLevel="0" collapsed="false">
      <c r="A11" s="6" t="s">
        <v>13</v>
      </c>
      <c r="B11" s="6" t="n">
        <f aca="false">ROUND(B9*B10,0)</f>
        <v>7808</v>
      </c>
      <c r="C11" s="6" t="s">
        <v>14</v>
      </c>
      <c r="D11" s="6" t="s">
        <v>15</v>
      </c>
    </row>
    <row r="12" customFormat="false" ht="15" hidden="false" customHeight="true" outlineLevel="0" collapsed="false">
      <c r="A12" s="6" t="s">
        <v>16</v>
      </c>
      <c r="B12" s="8" t="n">
        <v>0.196</v>
      </c>
      <c r="C12" s="6" t="s">
        <v>17</v>
      </c>
      <c r="D12" s="6" t="s">
        <v>18</v>
      </c>
    </row>
    <row r="13" customFormat="false" ht="15" hidden="false" customHeight="true" outlineLevel="0" collapsed="false">
      <c r="A13" s="6" t="s">
        <v>19</v>
      </c>
      <c r="B13" s="9" t="n">
        <v>144516</v>
      </c>
      <c r="C13" s="6" t="s">
        <v>20</v>
      </c>
      <c r="D13" s="6"/>
    </row>
    <row r="14" customFormat="false" ht="15" hidden="false" customHeight="true" outlineLevel="0" collapsed="false">
      <c r="A14" s="6" t="s">
        <v>21</v>
      </c>
      <c r="B14" s="6" t="n">
        <v>42.9</v>
      </c>
      <c r="C14" s="6" t="s">
        <v>22</v>
      </c>
      <c r="D14" s="6"/>
    </row>
    <row r="15" customFormat="false" ht="15" hidden="false" customHeight="true" outlineLevel="0" collapsed="false">
      <c r="A15" s="6" t="s">
        <v>23</v>
      </c>
      <c r="B15" s="6"/>
      <c r="C15" s="6" t="s">
        <v>14</v>
      </c>
      <c r="D15" s="6" t="s">
        <v>24</v>
      </c>
    </row>
    <row r="16" customFormat="false" ht="15" hidden="false" customHeight="true" outlineLevel="0" collapsed="false">
      <c r="A16" s="6" t="s">
        <v>25</v>
      </c>
      <c r="B16" s="6" t="n">
        <f aca="false">ROUND(B11*0.18,0)</f>
        <v>1405</v>
      </c>
      <c r="C16" s="6" t="s">
        <v>14</v>
      </c>
      <c r="D16" s="6" t="s">
        <v>26</v>
      </c>
    </row>
    <row r="18" customFormat="false" ht="15" hidden="false" customHeight="true" outlineLevel="0" collapsed="false">
      <c r="A18" s="3" t="s">
        <v>27</v>
      </c>
    </row>
    <row r="19" customFormat="false" ht="15" hidden="false" customHeight="true" outlineLevel="0" collapsed="false">
      <c r="A19" s="5" t="s">
        <v>4</v>
      </c>
      <c r="B19" s="5" t="s">
        <v>5</v>
      </c>
      <c r="C19" s="5" t="s">
        <v>6</v>
      </c>
      <c r="D19" s="5" t="s">
        <v>7</v>
      </c>
    </row>
    <row r="20" customFormat="false" ht="15" hidden="false" customHeight="true" outlineLevel="0" collapsed="false">
      <c r="A20" s="10" t="s">
        <v>28</v>
      </c>
      <c r="B20" s="11" t="n">
        <v>139890000</v>
      </c>
      <c r="C20" s="10" t="s">
        <v>29</v>
      </c>
      <c r="D20" s="10" t="s">
        <v>30</v>
      </c>
    </row>
    <row r="21" customFormat="false" ht="15" hidden="false" customHeight="true" outlineLevel="0" collapsed="false">
      <c r="A21" s="10" t="s">
        <v>31</v>
      </c>
      <c r="B21" s="11" t="n">
        <v>109240000</v>
      </c>
      <c r="C21" s="10" t="s">
        <v>29</v>
      </c>
      <c r="D21" s="10" t="s">
        <v>32</v>
      </c>
    </row>
    <row r="22" customFormat="false" ht="15" hidden="false" customHeight="true" outlineLevel="0" collapsed="false">
      <c r="A22" s="10" t="s">
        <v>33</v>
      </c>
      <c r="B22" s="12" t="n">
        <v>0.026</v>
      </c>
      <c r="C22" s="10" t="s">
        <v>34</v>
      </c>
      <c r="D22" s="10" t="s">
        <v>35</v>
      </c>
    </row>
    <row r="23" customFormat="false" ht="15" hidden="false" customHeight="true" outlineLevel="0" collapsed="false">
      <c r="A23" s="10" t="s">
        <v>36</v>
      </c>
      <c r="B23" s="11" t="n">
        <v>22000000</v>
      </c>
      <c r="C23" s="10" t="s">
        <v>37</v>
      </c>
      <c r="D23" s="10" t="s">
        <v>38</v>
      </c>
    </row>
    <row r="24" customFormat="false" ht="15" hidden="false" customHeight="true" outlineLevel="0" collapsed="false">
      <c r="A24" s="10" t="s">
        <v>39</v>
      </c>
      <c r="B24" s="11" t="n">
        <f aca="false">B20-B21-B23</f>
        <v>8650000</v>
      </c>
      <c r="C24" s="10" t="s">
        <v>14</v>
      </c>
      <c r="D24" s="13" t="s">
        <v>40</v>
      </c>
    </row>
    <row r="25" customFormat="false" ht="15" hidden="false" customHeight="true" outlineLevel="0" collapsed="false">
      <c r="A25" s="10" t="s">
        <v>41</v>
      </c>
      <c r="B25" s="10" t="n">
        <v>3326</v>
      </c>
      <c r="C25" s="10" t="s">
        <v>42</v>
      </c>
      <c r="D25" s="10" t="s">
        <v>43</v>
      </c>
    </row>
    <row r="26" customFormat="false" ht="15" hidden="false" customHeight="true" outlineLevel="0" collapsed="false">
      <c r="A26" s="10" t="s">
        <v>44</v>
      </c>
      <c r="B26" s="10" t="n">
        <v>3260</v>
      </c>
      <c r="C26" s="10" t="s">
        <v>34</v>
      </c>
      <c r="D26" s="10" t="s">
        <v>45</v>
      </c>
    </row>
    <row r="27" customFormat="false" ht="15" hidden="false" customHeight="true" outlineLevel="0" collapsed="false">
      <c r="A27" s="10" t="s">
        <v>46</v>
      </c>
      <c r="B27" s="11" t="n">
        <f aca="false">ROUND(B20/B25,0)</f>
        <v>42060</v>
      </c>
      <c r="C27" s="10" t="s">
        <v>14</v>
      </c>
      <c r="D27" s="11" t="s">
        <v>47</v>
      </c>
    </row>
    <row r="28" customFormat="false" ht="15" hidden="false" customHeight="true" outlineLevel="0" collapsed="false">
      <c r="A28" s="10" t="s">
        <v>48</v>
      </c>
      <c r="B28" s="11" t="n">
        <v>6380000</v>
      </c>
      <c r="C28" s="10" t="s">
        <v>34</v>
      </c>
      <c r="D28" s="10" t="s">
        <v>49</v>
      </c>
    </row>
    <row r="29" customFormat="false" ht="15" hidden="false" customHeight="true" outlineLevel="0" collapsed="false">
      <c r="A29" s="10" t="s">
        <v>50</v>
      </c>
      <c r="B29" s="11" t="n">
        <v>111911163</v>
      </c>
      <c r="C29" s="10" t="s">
        <v>34</v>
      </c>
      <c r="D29" s="10" t="s">
        <v>51</v>
      </c>
    </row>
    <row r="30" customFormat="false" ht="15" hidden="false" customHeight="true" outlineLevel="0" collapsed="false">
      <c r="A30" s="10" t="s">
        <v>52</v>
      </c>
      <c r="B30" s="11" t="n">
        <v>3780000</v>
      </c>
      <c r="C30" s="10" t="s">
        <v>34</v>
      </c>
      <c r="D30" s="10" t="s">
        <v>53</v>
      </c>
    </row>
    <row r="32" customFormat="false" ht="15" hidden="false" customHeight="true" outlineLevel="0" collapsed="false">
      <c r="A32" s="3" t="s">
        <v>54</v>
      </c>
    </row>
    <row r="33" customFormat="false" ht="15" hidden="false" customHeight="true" outlineLevel="0" collapsed="false">
      <c r="A33" s="5" t="s">
        <v>4</v>
      </c>
      <c r="B33" s="5" t="s">
        <v>5</v>
      </c>
      <c r="C33" s="5" t="s">
        <v>6</v>
      </c>
      <c r="D33" s="5" t="s">
        <v>7</v>
      </c>
    </row>
    <row r="34" customFormat="false" ht="15" hidden="false" customHeight="true" outlineLevel="0" collapsed="false">
      <c r="A34" s="14" t="s">
        <v>55</v>
      </c>
      <c r="B34" s="15" t="n">
        <v>58399</v>
      </c>
      <c r="C34" s="14" t="s">
        <v>56</v>
      </c>
      <c r="D34" s="14" t="s">
        <v>57</v>
      </c>
    </row>
    <row r="35" customFormat="false" ht="15" hidden="false" customHeight="true" outlineLevel="0" collapsed="false">
      <c r="A35" s="14" t="s">
        <v>58</v>
      </c>
      <c r="B35" s="14" t="s">
        <v>59</v>
      </c>
      <c r="C35" s="14" t="s">
        <v>60</v>
      </c>
      <c r="D35" s="14" t="s">
        <v>61</v>
      </c>
    </row>
    <row r="36" customFormat="false" ht="15" hidden="false" customHeight="true" outlineLevel="0" collapsed="false">
      <c r="A36" s="14" t="s">
        <v>62</v>
      </c>
      <c r="B36" s="14" t="n">
        <f aca="false">B34+8400</f>
        <v>66799</v>
      </c>
      <c r="C36" s="14" t="s">
        <v>14</v>
      </c>
      <c r="D36" s="14" t="s">
        <v>63</v>
      </c>
    </row>
    <row r="37" customFormat="false" ht="15" hidden="false" customHeight="true" outlineLevel="0" collapsed="false">
      <c r="A37" s="14" t="s">
        <v>64</v>
      </c>
      <c r="B37" s="15" t="n">
        <v>110750</v>
      </c>
      <c r="C37" s="14" t="s">
        <v>65</v>
      </c>
      <c r="D37" s="14" t="s">
        <v>66</v>
      </c>
    </row>
    <row r="38" customFormat="false" ht="15" hidden="false" customHeight="true" outlineLevel="0" collapsed="false">
      <c r="A38" s="14" t="s">
        <v>67</v>
      </c>
      <c r="B38" s="14" t="n">
        <v>140</v>
      </c>
      <c r="C38" s="14" t="s">
        <v>65</v>
      </c>
      <c r="D38" s="14" t="s">
        <v>68</v>
      </c>
    </row>
    <row r="39" customFormat="false" ht="15" hidden="false" customHeight="true" outlineLevel="0" collapsed="false">
      <c r="A39" s="14" t="s">
        <v>69</v>
      </c>
      <c r="B39" s="14" t="n">
        <v>50</v>
      </c>
      <c r="C39" s="14" t="s">
        <v>65</v>
      </c>
      <c r="D39" s="14" t="s">
        <v>68</v>
      </c>
    </row>
    <row r="40" customFormat="false" ht="15" hidden="false" customHeight="true" outlineLevel="0" collapsed="false">
      <c r="A40" s="14" t="s">
        <v>70</v>
      </c>
      <c r="B40" s="15" t="n">
        <v>2680</v>
      </c>
      <c r="C40" s="14" t="s">
        <v>65</v>
      </c>
      <c r="D40" s="14" t="s">
        <v>71</v>
      </c>
    </row>
    <row r="41" customFormat="false" ht="15" hidden="false" customHeight="true" outlineLevel="0" collapsed="false">
      <c r="A41" s="14" t="s">
        <v>72</v>
      </c>
      <c r="B41" s="15" t="n">
        <v>1220</v>
      </c>
      <c r="C41" s="14" t="s">
        <v>65</v>
      </c>
      <c r="D41" s="14" t="s">
        <v>71</v>
      </c>
    </row>
    <row r="42" customFormat="false" ht="15" hidden="false" customHeight="true" outlineLevel="0" collapsed="false">
      <c r="A42" s="14" t="s">
        <v>73</v>
      </c>
      <c r="B42" s="15" t="n">
        <v>15230</v>
      </c>
      <c r="C42" s="14" t="s">
        <v>37</v>
      </c>
      <c r="D42" s="14" t="s">
        <v>74</v>
      </c>
    </row>
    <row r="43" customFormat="false" ht="15" hidden="false" customHeight="true" outlineLevel="0" collapsed="false">
      <c r="A43" s="14" t="s">
        <v>75</v>
      </c>
      <c r="B43" s="15" t="n">
        <v>4900</v>
      </c>
      <c r="C43" s="14" t="s">
        <v>37</v>
      </c>
      <c r="D43" s="14" t="s">
        <v>76</v>
      </c>
    </row>
    <row r="44" customFormat="false" ht="15" hidden="false" customHeight="true" outlineLevel="0" collapsed="false">
      <c r="A44" s="14" t="s">
        <v>77</v>
      </c>
      <c r="B44" s="15" t="n">
        <f aca="false">B42-B43</f>
        <v>10330</v>
      </c>
      <c r="C44" s="14" t="s">
        <v>14</v>
      </c>
      <c r="D44" s="15" t="s">
        <v>78</v>
      </c>
    </row>
    <row r="45" customFormat="false" ht="15" hidden="false" customHeight="true" outlineLevel="0" collapsed="false">
      <c r="A45" s="14" t="s">
        <v>79</v>
      </c>
      <c r="B45" s="15" t="n">
        <f aca="false">B43</f>
        <v>4900</v>
      </c>
      <c r="C45" s="14" t="s">
        <v>14</v>
      </c>
      <c r="D45" s="1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8"/>
  </cols>
  <sheetData>
    <row r="1" customFormat="false" ht="17.25" hidden="false" customHeight="true" outlineLevel="0" collapsed="false">
      <c r="A1" s="2" t="s">
        <v>81</v>
      </c>
    </row>
    <row r="2" customFormat="false" ht="15" hidden="false" customHeight="true" outlineLevel="0" collapsed="false">
      <c r="A2" s="16" t="s">
        <v>82</v>
      </c>
    </row>
    <row r="4" customFormat="false" ht="23.25" hidden="false" customHeight="true" outlineLevel="0" collapsed="false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  <c r="F4" s="5" t="s">
        <v>88</v>
      </c>
      <c r="G4" s="5" t="s">
        <v>89</v>
      </c>
    </row>
    <row r="5" customFormat="false" ht="15" hidden="false" customHeight="true" outlineLevel="0" collapsed="false">
      <c r="A5" s="17" t="s">
        <v>90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6" t="s">
        <v>91</v>
      </c>
      <c r="B6" s="18" t="n">
        <f aca="false">'Assumptions &amp; Baseline'!B16</f>
        <v>1405</v>
      </c>
      <c r="C6" s="18" t="n">
        <f aca="false">'Assumptions &amp; Baseline'!B16</f>
        <v>1405</v>
      </c>
      <c r="D6" s="18" t="n">
        <f aca="false">'Assumptions &amp; Baseline'!B16</f>
        <v>1405</v>
      </c>
      <c r="E6" s="18" t="n">
        <f aca="false">'Assumptions &amp; Baseline'!B16</f>
        <v>1405</v>
      </c>
      <c r="F6" s="18" t="n">
        <f aca="false">'Assumptions &amp; Baseline'!B16</f>
        <v>1405</v>
      </c>
      <c r="G6" s="18" t="n">
        <f aca="false">'Assumptions &amp; Baseline'!B16</f>
        <v>1405</v>
      </c>
    </row>
    <row r="7" customFormat="false" ht="15" hidden="false" customHeight="true" outlineLevel="0" collapsed="false">
      <c r="A7" s="6" t="s">
        <v>92</v>
      </c>
      <c r="B7" s="19" t="n">
        <v>0</v>
      </c>
      <c r="C7" s="19" t="n">
        <v>0.1</v>
      </c>
      <c r="D7" s="19" t="n">
        <v>0.2</v>
      </c>
      <c r="E7" s="19" t="n">
        <v>0.3</v>
      </c>
      <c r="F7" s="19" t="n">
        <v>0.4</v>
      </c>
      <c r="G7" s="19" t="n">
        <v>0.5</v>
      </c>
    </row>
    <row r="8" customFormat="false" ht="15" hidden="false" customHeight="true" outlineLevel="0" collapsed="false">
      <c r="A8" s="6" t="s">
        <v>93</v>
      </c>
      <c r="B8" s="18" t="n">
        <f aca="false">ROUND(B6*B7,0)</f>
        <v>0</v>
      </c>
      <c r="C8" s="18" t="n">
        <f aca="false">ROUND(C6*C7,0)</f>
        <v>141</v>
      </c>
      <c r="D8" s="18" t="n">
        <f aca="false">ROUND(D6*D7,0)</f>
        <v>281</v>
      </c>
      <c r="E8" s="18" t="n">
        <f aca="false">ROUND(E6*E7,0)</f>
        <v>422</v>
      </c>
      <c r="F8" s="18" t="n">
        <f aca="false">ROUND(F6*F7,0)</f>
        <v>562</v>
      </c>
      <c r="G8" s="18" t="n">
        <f aca="false">ROUND(G6*G7,0)</f>
        <v>703</v>
      </c>
    </row>
    <row r="9" customFormat="false" ht="15" hidden="false" customHeight="true" outlineLevel="0" collapsed="false">
      <c r="A9" s="6" t="s">
        <v>94</v>
      </c>
      <c r="B9" s="18" t="n">
        <f aca="false">B6-B8</f>
        <v>1405</v>
      </c>
      <c r="C9" s="18" t="n">
        <f aca="false">C6-C8</f>
        <v>1264</v>
      </c>
      <c r="D9" s="18" t="n">
        <f aca="false">D6-D8</f>
        <v>1124</v>
      </c>
      <c r="E9" s="18" t="n">
        <f aca="false">E6-E8</f>
        <v>983</v>
      </c>
      <c r="F9" s="18" t="n">
        <f aca="false">F6-F8</f>
        <v>843</v>
      </c>
      <c r="G9" s="18" t="n">
        <f aca="false">G6-G8</f>
        <v>702</v>
      </c>
    </row>
    <row r="10" customFormat="false" ht="15" hidden="false" customHeight="true" outlineLevel="0" collapsed="false">
      <c r="A10" s="6" t="s">
        <v>95</v>
      </c>
      <c r="B10" s="18" t="n">
        <f aca="false">B8</f>
        <v>0</v>
      </c>
      <c r="C10" s="18" t="n">
        <f aca="false">C8</f>
        <v>141</v>
      </c>
      <c r="D10" s="18" t="n">
        <f aca="false">D8</f>
        <v>281</v>
      </c>
      <c r="E10" s="18" t="n">
        <f aca="false">E8</f>
        <v>422</v>
      </c>
      <c r="F10" s="18" t="n">
        <f aca="false">F8</f>
        <v>562</v>
      </c>
      <c r="G10" s="18" t="n">
        <f aca="false">G8</f>
        <v>703</v>
      </c>
    </row>
    <row r="11" customFormat="false" ht="15" hidden="false" customHeight="true" outlineLevel="0" collapsed="false">
      <c r="A11" s="17" t="s">
        <v>96</v>
      </c>
      <c r="B11" s="17"/>
      <c r="C11" s="17"/>
      <c r="D11" s="17"/>
      <c r="E11" s="17"/>
      <c r="F11" s="17"/>
      <c r="G11" s="17"/>
    </row>
    <row r="12" customFormat="false" ht="15" hidden="false" customHeight="true" outlineLevel="0" collapsed="false">
      <c r="A12" s="10" t="s">
        <v>97</v>
      </c>
      <c r="B12" s="11" t="n">
        <f aca="false">'Assumptions &amp; Baseline'!B43</f>
        <v>4900</v>
      </c>
      <c r="C12" s="11" t="n">
        <f aca="false">'Assumptions &amp; Baseline'!B43</f>
        <v>4900</v>
      </c>
      <c r="D12" s="11" t="n">
        <f aca="false">'Assumptions &amp; Baseline'!B43</f>
        <v>4900</v>
      </c>
      <c r="E12" s="11" t="n">
        <f aca="false">'Assumptions &amp; Baseline'!B43</f>
        <v>4900</v>
      </c>
      <c r="F12" s="11" t="n">
        <f aca="false">'Assumptions &amp; Baseline'!B43</f>
        <v>4900</v>
      </c>
      <c r="G12" s="11" t="n">
        <f aca="false">'Assumptions &amp; Baseline'!B43</f>
        <v>4900</v>
      </c>
    </row>
    <row r="13" customFormat="false" ht="15" hidden="false" customHeight="true" outlineLevel="0" collapsed="false">
      <c r="A13" s="10" t="s">
        <v>98</v>
      </c>
      <c r="B13" s="11" t="n">
        <f aca="false">B8*B12</f>
        <v>0</v>
      </c>
      <c r="C13" s="11" t="n">
        <f aca="false">C8*C12</f>
        <v>690900</v>
      </c>
      <c r="D13" s="11" t="n">
        <f aca="false">D8*D12</f>
        <v>1376900</v>
      </c>
      <c r="E13" s="11" t="n">
        <f aca="false">E8*E12</f>
        <v>2067800</v>
      </c>
      <c r="F13" s="11" t="n">
        <f aca="false">F8*F12</f>
        <v>2753800</v>
      </c>
      <c r="G13" s="11" t="n">
        <f aca="false">G8*G12</f>
        <v>3444700</v>
      </c>
    </row>
    <row r="14" customFormat="false" ht="15" hidden="false" customHeight="true" outlineLevel="0" collapsed="false">
      <c r="A14" s="10" t="s">
        <v>99</v>
      </c>
      <c r="B14" s="11" t="n">
        <f aca="false">'Assumptions &amp; Baseline'!B21</f>
        <v>109240000</v>
      </c>
      <c r="C14" s="11" t="n">
        <f aca="false">'Assumptions &amp; Baseline'!B21</f>
        <v>109240000</v>
      </c>
      <c r="D14" s="11" t="n">
        <f aca="false">'Assumptions &amp; Baseline'!B21</f>
        <v>109240000</v>
      </c>
      <c r="E14" s="11" t="n">
        <f aca="false">'Assumptions &amp; Baseline'!B21</f>
        <v>109240000</v>
      </c>
      <c r="F14" s="11" t="n">
        <f aca="false">'Assumptions &amp; Baseline'!B21</f>
        <v>109240000</v>
      </c>
      <c r="G14" s="11" t="n">
        <f aca="false">'Assumptions &amp; Baseline'!B21</f>
        <v>109240000</v>
      </c>
    </row>
    <row r="15" customFormat="false" ht="15" hidden="false" customHeight="true" outlineLevel="0" collapsed="false">
      <c r="A15" s="10" t="s">
        <v>100</v>
      </c>
      <c r="B15" s="11" t="n">
        <f aca="false">B14+B13</f>
        <v>109240000</v>
      </c>
      <c r="C15" s="11" t="n">
        <f aca="false">C14+C13</f>
        <v>109930900</v>
      </c>
      <c r="D15" s="11" t="n">
        <f aca="false">D14+D13</f>
        <v>110616900</v>
      </c>
      <c r="E15" s="11" t="n">
        <f aca="false">E14+E13</f>
        <v>111307800</v>
      </c>
      <c r="F15" s="11" t="n">
        <f aca="false">F14+F13</f>
        <v>111993800</v>
      </c>
      <c r="G15" s="11" t="n">
        <f aca="false">G14+G13</f>
        <v>112684700</v>
      </c>
    </row>
    <row r="16" customFormat="false" ht="15" hidden="false" customHeight="true" outlineLevel="0" collapsed="false">
      <c r="A16" s="10" t="s">
        <v>101</v>
      </c>
      <c r="B16" s="12" t="n">
        <f aca="false">IF(B14=0,0,B13/B14)</f>
        <v>0</v>
      </c>
      <c r="C16" s="12" t="n">
        <f aca="false">IF(C14=0,0,C13/C14)</f>
        <v>0.00632460637129257</v>
      </c>
      <c r="D16" s="12" t="n">
        <f aca="false">IF(D14=0,0,D13/D14)</f>
        <v>0.0126043573782497</v>
      </c>
      <c r="E16" s="12" t="n">
        <f aca="false">IF(E14=0,0,E13/E14)</f>
        <v>0.0189289637495423</v>
      </c>
      <c r="F16" s="12" t="n">
        <f aca="false">IF(F14=0,0,F13/F14)</f>
        <v>0.0252087147564995</v>
      </c>
      <c r="G16" s="12" t="n">
        <f aca="false">IF(G14=0,0,G13/G14)</f>
        <v>0.031533321127792</v>
      </c>
    </row>
    <row r="17" customFormat="false" ht="15" hidden="false" customHeight="true" outlineLevel="0" collapsed="false">
      <c r="A17" s="10" t="s">
        <v>102</v>
      </c>
      <c r="B17" s="10" t="str">
        <f aca="false">IF(B13&gt;=3780000,"Fully Covered",IF(B13&gt;0,B13/3780000,"No Coverage"))</f>
        <v>No Coverage</v>
      </c>
      <c r="C17" s="10" t="n">
        <f aca="false">IF(C13&gt;=3780000,"Fully Covered",IF(C13&gt;0,C13/3780000,"No Coverage"))</f>
        <v>0.182777777777778</v>
      </c>
      <c r="D17" s="10" t="n">
        <f aca="false">IF(D13&gt;=3780000,"Fully Covered",IF(D13&gt;0,D13/3780000,"No Coverage"))</f>
        <v>0.364259259259259</v>
      </c>
      <c r="E17" s="10" t="n">
        <f aca="false">IF(E13&gt;=3780000,"Fully Covered",IF(E13&gt;0,E13/3780000,"No Coverage"))</f>
        <v>0.547037037037037</v>
      </c>
      <c r="F17" s="10" t="n">
        <f aca="false">IF(F13&gt;=3780000,"Fully Covered",IF(F13&gt;0,F13/3780000,"No Coverage"))</f>
        <v>0.728518518518519</v>
      </c>
      <c r="G17" s="10" t="n">
        <f aca="false">IF(G13&gt;=3780000,"Fully Covered",IF(G13&gt;0,G13/3780000,"No Coverage"))</f>
        <v>0.911296296296296</v>
      </c>
    </row>
    <row r="18" customFormat="false" ht="15" hidden="false" customHeight="true" outlineLevel="0" collapsed="false">
      <c r="A18" s="17" t="s">
        <v>103</v>
      </c>
      <c r="B18" s="17"/>
      <c r="C18" s="17"/>
      <c r="D18" s="17"/>
      <c r="E18" s="17"/>
      <c r="F18" s="17"/>
      <c r="G18" s="17"/>
    </row>
    <row r="19" customFormat="false" ht="15" hidden="false" customHeight="true" outlineLevel="0" collapsed="false">
      <c r="A19" s="14" t="s">
        <v>104</v>
      </c>
      <c r="B19" s="20" t="n">
        <f aca="false">'Assumptions &amp; Baseline'!B25</f>
        <v>3326</v>
      </c>
      <c r="C19" s="20" t="n">
        <f aca="false">'Assumptions &amp; Baseline'!B25</f>
        <v>3326</v>
      </c>
      <c r="D19" s="20" t="n">
        <f aca="false">'Assumptions &amp; Baseline'!B25</f>
        <v>3326</v>
      </c>
      <c r="E19" s="20" t="n">
        <f aca="false">'Assumptions &amp; Baseline'!B25</f>
        <v>3326</v>
      </c>
      <c r="F19" s="20" t="n">
        <f aca="false">'Assumptions &amp; Baseline'!B25</f>
        <v>3326</v>
      </c>
      <c r="G19" s="20" t="n">
        <f aca="false">'Assumptions &amp; Baseline'!B25</f>
        <v>3326</v>
      </c>
    </row>
    <row r="20" customFormat="false" ht="15" hidden="false" customHeight="true" outlineLevel="0" collapsed="false">
      <c r="A20" s="14" t="s">
        <v>105</v>
      </c>
      <c r="B20" s="20" t="n">
        <f aca="false">B10*2</f>
        <v>0</v>
      </c>
      <c r="C20" s="20" t="n">
        <f aca="false">C10*2</f>
        <v>282</v>
      </c>
      <c r="D20" s="20" t="n">
        <f aca="false">D10*2</f>
        <v>562</v>
      </c>
      <c r="E20" s="20" t="n">
        <f aca="false">E10*2</f>
        <v>844</v>
      </c>
      <c r="F20" s="20" t="n">
        <f aca="false">F10*2</f>
        <v>1124</v>
      </c>
      <c r="G20" s="20" t="n">
        <f aca="false">G10*2</f>
        <v>1406</v>
      </c>
    </row>
    <row r="21" customFormat="false" ht="15" hidden="false" customHeight="true" outlineLevel="0" collapsed="false">
      <c r="A21" s="14" t="s">
        <v>106</v>
      </c>
      <c r="B21" s="21" t="n">
        <v>0.7</v>
      </c>
      <c r="C21" s="21" t="n">
        <v>0.7</v>
      </c>
      <c r="D21" s="21" t="n">
        <v>0.7</v>
      </c>
      <c r="E21" s="21" t="n">
        <v>0.7</v>
      </c>
      <c r="F21" s="21" t="n">
        <v>0.7</v>
      </c>
      <c r="G21" s="21" t="n">
        <v>0.7</v>
      </c>
    </row>
    <row r="22" customFormat="false" ht="15" hidden="false" customHeight="true" outlineLevel="0" collapsed="false">
      <c r="A22" s="14" t="s">
        <v>107</v>
      </c>
      <c r="B22" s="20" t="n">
        <f aca="false">ROUND(B20*B21,0)</f>
        <v>0</v>
      </c>
      <c r="C22" s="20" t="n">
        <f aca="false">ROUND(C20*C21,0)</f>
        <v>197</v>
      </c>
      <c r="D22" s="20" t="n">
        <f aca="false">ROUND(D20*D21,0)</f>
        <v>393</v>
      </c>
      <c r="E22" s="20" t="n">
        <f aca="false">ROUND(E20*E21,0)</f>
        <v>591</v>
      </c>
      <c r="F22" s="20" t="n">
        <f aca="false">ROUND(F20*F21,0)</f>
        <v>787</v>
      </c>
      <c r="G22" s="20" t="n">
        <f aca="false">ROUND(G20*G21,0)</f>
        <v>984</v>
      </c>
    </row>
    <row r="23" customFormat="false" ht="15" hidden="false" customHeight="true" outlineLevel="0" collapsed="false">
      <c r="A23" s="14" t="s">
        <v>108</v>
      </c>
      <c r="B23" s="20" t="n">
        <f aca="false">B19+B22</f>
        <v>3326</v>
      </c>
      <c r="C23" s="20" t="n">
        <f aca="false">C19+C22</f>
        <v>3523</v>
      </c>
      <c r="D23" s="20" t="n">
        <f aca="false">D19+D22</f>
        <v>3719</v>
      </c>
      <c r="E23" s="20" t="n">
        <f aca="false">E19+E22</f>
        <v>3917</v>
      </c>
      <c r="F23" s="20" t="n">
        <f aca="false">F19+F22</f>
        <v>4113</v>
      </c>
      <c r="G23" s="20" t="n">
        <f aca="false">G19+G22</f>
        <v>4310</v>
      </c>
    </row>
    <row r="24" customFormat="false" ht="15" hidden="false" customHeight="true" outlineLevel="0" collapsed="false">
      <c r="A24" s="14" t="s">
        <v>109</v>
      </c>
      <c r="B24" s="22" t="n">
        <f aca="false">IF(B19=0,0,B22/B19)</f>
        <v>0</v>
      </c>
      <c r="C24" s="22" t="n">
        <f aca="false">IF(C19=0,0,C22/C19)</f>
        <v>0.0592303066746843</v>
      </c>
      <c r="D24" s="22" t="n">
        <f aca="false">IF(D19=0,0,D22/D19)</f>
        <v>0.118159951894167</v>
      </c>
      <c r="E24" s="22" t="n">
        <f aca="false">IF(E19=0,0,E22/E19)</f>
        <v>0.177690920024053</v>
      </c>
      <c r="F24" s="22" t="n">
        <f aca="false">IF(F19=0,0,F22/F19)</f>
        <v>0.236620565243536</v>
      </c>
      <c r="G24" s="22" t="n">
        <f aca="false">IF(G19=0,0,G22/G19)</f>
        <v>0.29585087191822</v>
      </c>
    </row>
    <row r="25" customFormat="false" ht="15" hidden="false" customHeight="true" outlineLevel="0" collapsed="false">
      <c r="A25" s="14" t="s">
        <v>110</v>
      </c>
      <c r="B25" s="15" t="n">
        <f aca="false">'Assumptions &amp; Baseline'!B27</f>
        <v>42060</v>
      </c>
      <c r="C25" s="15" t="n">
        <f aca="false">'Assumptions &amp; Baseline'!B27</f>
        <v>42060</v>
      </c>
      <c r="D25" s="15" t="n">
        <f aca="false">'Assumptions &amp; Baseline'!B27</f>
        <v>42060</v>
      </c>
      <c r="E25" s="15" t="n">
        <f aca="false">'Assumptions &amp; Baseline'!B27</f>
        <v>42060</v>
      </c>
      <c r="F25" s="15" t="n">
        <f aca="false">'Assumptions &amp; Baseline'!B27</f>
        <v>42060</v>
      </c>
      <c r="G25" s="15" t="n">
        <f aca="false">'Assumptions &amp; Baseline'!B27</f>
        <v>42060</v>
      </c>
    </row>
    <row r="26" customFormat="false" ht="15" hidden="false" customHeight="true" outlineLevel="0" collapsed="false">
      <c r="A26" s="14" t="s">
        <v>111</v>
      </c>
      <c r="B26" s="15" t="n">
        <f aca="false">'Assumptions &amp; Baseline'!B20+B13</f>
        <v>139890000</v>
      </c>
      <c r="C26" s="15" t="n">
        <f aca="false">'Assumptions &amp; Baseline'!B20+C13</f>
        <v>140580900</v>
      </c>
      <c r="D26" s="15" t="n">
        <f aca="false">'Assumptions &amp; Baseline'!B20+D13</f>
        <v>141266900</v>
      </c>
      <c r="E26" s="15" t="n">
        <f aca="false">'Assumptions &amp; Baseline'!B20+E13</f>
        <v>141957800</v>
      </c>
      <c r="F26" s="15" t="n">
        <f aca="false">'Assumptions &amp; Baseline'!B20+F13</f>
        <v>142643800</v>
      </c>
      <c r="G26" s="15" t="n">
        <f aca="false">'Assumptions &amp; Baseline'!B20+G13</f>
        <v>143334700</v>
      </c>
    </row>
    <row r="27" customFormat="false" ht="15" hidden="false" customHeight="true" outlineLevel="0" collapsed="false">
      <c r="A27" s="14" t="s">
        <v>112</v>
      </c>
      <c r="B27" s="15" t="n">
        <f aca="false">IF(B23=0,0,ROUND(B26/B23,0))</f>
        <v>42060</v>
      </c>
      <c r="C27" s="15" t="n">
        <f aca="false">IF(C23=0,0,ROUND(C26/C23,0))</f>
        <v>39904</v>
      </c>
      <c r="D27" s="15" t="n">
        <f aca="false">IF(D23=0,0,ROUND(D26/D23,0))</f>
        <v>37985</v>
      </c>
      <c r="E27" s="15" t="n">
        <f aca="false">IF(E23=0,0,ROUND(E26/E23,0))</f>
        <v>36241</v>
      </c>
      <c r="F27" s="15" t="n">
        <f aca="false">IF(F23=0,0,ROUND(F26/F23,0))</f>
        <v>34681</v>
      </c>
      <c r="G27" s="15" t="n">
        <f aca="false">IF(G23=0,0,ROUND(G26/G23,0))</f>
        <v>33256</v>
      </c>
    </row>
    <row r="28" customFormat="false" ht="15" hidden="false" customHeight="true" outlineLevel="0" collapsed="false">
      <c r="A28" s="14" t="s">
        <v>113</v>
      </c>
      <c r="B28" s="23" t="n">
        <f aca="false">B27-B25</f>
        <v>0</v>
      </c>
      <c r="C28" s="23" t="n">
        <f aca="false">C27-C25</f>
        <v>-2156</v>
      </c>
      <c r="D28" s="23" t="n">
        <f aca="false">D27-D25</f>
        <v>-4075</v>
      </c>
      <c r="E28" s="23" t="n">
        <f aca="false">E27-E25</f>
        <v>-5819</v>
      </c>
      <c r="F28" s="23" t="n">
        <f aca="false">F27-F25</f>
        <v>-7379</v>
      </c>
      <c r="G28" s="23" t="n">
        <f aca="false">G27-G25</f>
        <v>-8804</v>
      </c>
    </row>
    <row r="29" customFormat="false" ht="15" hidden="false" customHeight="true" outlineLevel="0" collapsed="false">
      <c r="A29" s="14" t="s">
        <v>114</v>
      </c>
      <c r="B29" s="22" t="n">
        <f aca="false">IF(B25=0,0,B28/B25)</f>
        <v>0</v>
      </c>
      <c r="C29" s="22" t="n">
        <f aca="false">IF(C25=0,0,C28/C25)</f>
        <v>-0.0512601046124584</v>
      </c>
      <c r="D29" s="22" t="n">
        <f aca="false">IF(D25=0,0,D28/D25)</f>
        <v>-0.0968854018069425</v>
      </c>
      <c r="E29" s="22" t="n">
        <f aca="false">IF(E25=0,0,E28/E25)</f>
        <v>-0.138349976224441</v>
      </c>
      <c r="F29" s="22" t="n">
        <f aca="false">IF(F25=0,0,F28/F25)</f>
        <v>-0.175439847836424</v>
      </c>
      <c r="G29" s="22" t="n">
        <f aca="false">IF(G25=0,0,G28/G25)</f>
        <v>-0.209320019020447</v>
      </c>
    </row>
    <row r="30" customFormat="false" ht="15" hidden="false" customHeight="true" outlineLevel="0" collapsed="false">
      <c r="A30" s="17" t="s">
        <v>115</v>
      </c>
      <c r="B30" s="17"/>
      <c r="C30" s="17"/>
      <c r="D30" s="17"/>
      <c r="E30" s="17"/>
      <c r="F30" s="17"/>
      <c r="G30" s="17"/>
    </row>
    <row r="31" customFormat="false" ht="15" hidden="false" customHeight="true" outlineLevel="0" collapsed="false">
      <c r="A31" s="24" t="s">
        <v>116</v>
      </c>
      <c r="B31" s="25" t="n">
        <f aca="false">ROUND(B8*1800,0)</f>
        <v>0</v>
      </c>
      <c r="C31" s="25" t="n">
        <f aca="false">ROUND(C8*1800,0)</f>
        <v>253800</v>
      </c>
      <c r="D31" s="25" t="n">
        <f aca="false">ROUND(D8*1800,0)</f>
        <v>505800</v>
      </c>
      <c r="E31" s="25" t="n">
        <f aca="false">ROUND(E8*1800,0)</f>
        <v>759600</v>
      </c>
      <c r="F31" s="25" t="n">
        <f aca="false">ROUND(F8*1800,0)</f>
        <v>1011600</v>
      </c>
      <c r="G31" s="25" t="n">
        <f aca="false">ROUND(G8*1800,0)</f>
        <v>1265400</v>
      </c>
    </row>
    <row r="32" customFormat="false" ht="15" hidden="false" customHeight="true" outlineLevel="0" collapsed="false">
      <c r="A32" s="24" t="s">
        <v>117</v>
      </c>
      <c r="B32" s="25" t="n">
        <f aca="false">ROUND(B8*900,0)</f>
        <v>0</v>
      </c>
      <c r="C32" s="25" t="n">
        <f aca="false">ROUND(C8*900,0)</f>
        <v>126900</v>
      </c>
      <c r="D32" s="25" t="n">
        <f aca="false">ROUND(D8*900,0)</f>
        <v>252900</v>
      </c>
      <c r="E32" s="25" t="n">
        <f aca="false">ROUND(E8*900,0)</f>
        <v>379800</v>
      </c>
      <c r="F32" s="25" t="n">
        <f aca="false">ROUND(F8*900,0)</f>
        <v>505800</v>
      </c>
      <c r="G32" s="25" t="n">
        <f aca="false">ROUND(G8*900,0)</f>
        <v>632700</v>
      </c>
    </row>
    <row r="33" customFormat="false" ht="15" hidden="false" customHeight="true" outlineLevel="0" collapsed="false">
      <c r="A33" s="24" t="s">
        <v>118</v>
      </c>
      <c r="B33" s="25" t="n">
        <f aca="false">B13+B31+B32</f>
        <v>0</v>
      </c>
      <c r="C33" s="25" t="n">
        <f aca="false">C13+C31+C32</f>
        <v>1071600</v>
      </c>
      <c r="D33" s="25" t="n">
        <f aca="false">D13+D31+D32</f>
        <v>2135600</v>
      </c>
      <c r="E33" s="25" t="n">
        <f aca="false">E13+E31+E32</f>
        <v>3207200</v>
      </c>
      <c r="F33" s="25" t="n">
        <f aca="false">F13+F31+F32</f>
        <v>4271200</v>
      </c>
      <c r="G33" s="25" t="n">
        <f aca="false">G13+G31+G32</f>
        <v>5342800</v>
      </c>
    </row>
    <row r="34" customFormat="false" ht="15" hidden="false" customHeight="true" outlineLevel="0" collapsed="false">
      <c r="A34" s="24" t="s">
        <v>119</v>
      </c>
      <c r="B34" s="25" t="n">
        <f aca="false">ROUND(B10*15000,0)</f>
        <v>0</v>
      </c>
      <c r="C34" s="25" t="n">
        <f aca="false">ROUND(C10*15000,0)</f>
        <v>2115000</v>
      </c>
      <c r="D34" s="25" t="n">
        <f aca="false">ROUND(D10*15000,0)</f>
        <v>4215000</v>
      </c>
      <c r="E34" s="25" t="n">
        <f aca="false">ROUND(E10*15000,0)</f>
        <v>6330000</v>
      </c>
      <c r="F34" s="25" t="n">
        <f aca="false">ROUND(F10*15000,0)</f>
        <v>8430000</v>
      </c>
      <c r="G34" s="25" t="n">
        <f aca="false">ROUND(G10*15000,0)</f>
        <v>10545000</v>
      </c>
    </row>
    <row r="35" customFormat="false" ht="15" hidden="false" customHeight="true" outlineLevel="0" collapsed="false">
      <c r="A35" s="24" t="s">
        <v>120</v>
      </c>
      <c r="B35" s="25" t="n">
        <f aca="false">ROUND(B8*700000*0.004,0)</f>
        <v>0</v>
      </c>
      <c r="C35" s="25" t="n">
        <f aca="false">ROUND(C8*700000*0.004,0)</f>
        <v>394800</v>
      </c>
      <c r="D35" s="25" t="n">
        <f aca="false">ROUND(D8*700000*0.004,0)</f>
        <v>786800</v>
      </c>
      <c r="E35" s="25" t="n">
        <f aca="false">ROUND(E8*700000*0.004,0)</f>
        <v>1181600</v>
      </c>
      <c r="F35" s="25" t="n">
        <f aca="false">ROUND(F8*700000*0.004,0)</f>
        <v>1573600</v>
      </c>
      <c r="G35" s="25" t="n">
        <f aca="false">ROUND(G8*700000*0.004,0)</f>
        <v>1968400</v>
      </c>
    </row>
    <row r="36" customFormat="false" ht="15" hidden="false" customHeight="true" outlineLevel="0" collapsed="false">
      <c r="A36" s="24" t="s">
        <v>121</v>
      </c>
      <c r="B36" s="26" t="n">
        <f aca="false">IF(B22&lt;=288,0,(B22-288)*5000)</f>
        <v>0</v>
      </c>
      <c r="C36" s="26" t="n">
        <f aca="false">IF(C22&lt;=288,0,(C22-288)*5000)</f>
        <v>0</v>
      </c>
      <c r="D36" s="26" t="n">
        <f aca="false">IF(D22&lt;=288,0,(D22-288)*5000)</f>
        <v>525000</v>
      </c>
      <c r="E36" s="26" t="n">
        <f aca="false">IF(E22&lt;=288,0,(E22-288)*5000)</f>
        <v>1515000</v>
      </c>
      <c r="F36" s="26" t="n">
        <f aca="false">IF(F22&lt;=288,0,(F22-288)*5000)</f>
        <v>2495000</v>
      </c>
      <c r="G36" s="26" t="n">
        <f aca="false">IF(G22&lt;=288,0,(G22-288)*5000)</f>
        <v>3480000</v>
      </c>
    </row>
    <row r="37" customFormat="false" ht="15" hidden="false" customHeight="true" outlineLevel="0" collapsed="false">
      <c r="A37" s="17" t="s">
        <v>122</v>
      </c>
      <c r="B37" s="17"/>
      <c r="C37" s="17"/>
      <c r="D37" s="17"/>
      <c r="E37" s="17"/>
      <c r="F37" s="17"/>
      <c r="G37" s="17"/>
    </row>
    <row r="38" customFormat="false" ht="15" hidden="false" customHeight="true" outlineLevel="0" collapsed="false">
      <c r="A38" s="27" t="s">
        <v>123</v>
      </c>
      <c r="B38" s="28" t="n">
        <f aca="false">B33</f>
        <v>0</v>
      </c>
      <c r="C38" s="28" t="n">
        <f aca="false">C33</f>
        <v>1071600</v>
      </c>
      <c r="D38" s="28" t="n">
        <f aca="false">D33</f>
        <v>2135600</v>
      </c>
      <c r="E38" s="28" t="n">
        <f aca="false">E33</f>
        <v>3207200</v>
      </c>
      <c r="F38" s="28" t="n">
        <f aca="false">F33</f>
        <v>4271200</v>
      </c>
      <c r="G38" s="28" t="n">
        <f aca="false">G33</f>
        <v>5342800</v>
      </c>
    </row>
    <row r="39" customFormat="false" ht="15" hidden="false" customHeight="true" outlineLevel="0" collapsed="false">
      <c r="A39" s="27" t="s">
        <v>124</v>
      </c>
      <c r="B39" s="28" t="n">
        <f aca="false">B13</f>
        <v>0</v>
      </c>
      <c r="C39" s="28" t="n">
        <f aca="false">C13</f>
        <v>690900</v>
      </c>
      <c r="D39" s="28" t="n">
        <f aca="false">D13</f>
        <v>1376900</v>
      </c>
      <c r="E39" s="28" t="n">
        <f aca="false">E13</f>
        <v>2067800</v>
      </c>
      <c r="F39" s="28" t="n">
        <f aca="false">F13</f>
        <v>2753800</v>
      </c>
      <c r="G39" s="28" t="n">
        <f aca="false">G13</f>
        <v>3444700</v>
      </c>
    </row>
    <row r="40" customFormat="false" ht="15" hidden="false" customHeight="true" outlineLevel="0" collapsed="false">
      <c r="A40" s="27" t="s">
        <v>125</v>
      </c>
      <c r="B40" s="29" t="n">
        <f aca="false">IF(B22=0,0,ROUND(B13/B22,0))</f>
        <v>0</v>
      </c>
      <c r="C40" s="29" t="n">
        <f aca="false">IF(C22=0,0,ROUND(C13/C22,0))</f>
        <v>3507</v>
      </c>
      <c r="D40" s="29" t="n">
        <f aca="false">IF(D22=0,0,ROUND(D13/D22,0))</f>
        <v>3504</v>
      </c>
      <c r="E40" s="29" t="n">
        <f aca="false">IF(E22=0,0,ROUND(E13/E22,0))</f>
        <v>3499</v>
      </c>
      <c r="F40" s="29" t="n">
        <f aca="false">IF(F22=0,0,ROUND(F13/F22,0))</f>
        <v>3499</v>
      </c>
      <c r="G40" s="29" t="n">
        <f aca="false">IF(G22=0,0,ROUND(G13/G22,0))</f>
        <v>3501</v>
      </c>
    </row>
    <row r="41" customFormat="false" ht="15" hidden="false" customHeight="true" outlineLevel="0" collapsed="false">
      <c r="A41" s="27" t="s">
        <v>126</v>
      </c>
      <c r="B41" s="30" t="n">
        <f aca="false">IF(B22=0,0,ROUND(B13/(B22*12000),1))</f>
        <v>0</v>
      </c>
      <c r="C41" s="30" t="n">
        <f aca="false">IF(C22=0,0,ROUND(C13/(C22*12000),1))</f>
        <v>0.3</v>
      </c>
      <c r="D41" s="30" t="n">
        <f aca="false">IF(D22=0,0,ROUND(D13/(D22*12000),1))</f>
        <v>0.3</v>
      </c>
      <c r="E41" s="30" t="n">
        <f aca="false">IF(E22=0,0,ROUND(E13/(E22*12000),1))</f>
        <v>0.3</v>
      </c>
      <c r="F41" s="30" t="n">
        <f aca="false">IF(F22=0,0,ROUND(F13/(F22*12000),1))</f>
        <v>0.3</v>
      </c>
      <c r="G41" s="30" t="n">
        <f aca="false">IF(G22=0,0,ROUND(G13/(G22*12000),1))</f>
        <v>0.3</v>
      </c>
    </row>
  </sheetData>
  <mergeCells count="5">
    <mergeCell ref="A5:G5"/>
    <mergeCell ref="A11:G11"/>
    <mergeCell ref="A18:G18"/>
    <mergeCell ref="A30:G30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127</v>
      </c>
    </row>
    <row r="3" customFormat="false" ht="15" hidden="false" customHeight="true" outlineLevel="0" collapsed="false">
      <c r="A3" s="3" t="s">
        <v>128</v>
      </c>
    </row>
    <row r="4" customFormat="false" ht="23.25" hidden="false" customHeight="true" outlineLevel="0" collapsed="false">
      <c r="A4" s="5" t="s">
        <v>129</v>
      </c>
      <c r="B4" s="5" t="s">
        <v>130</v>
      </c>
      <c r="C4" s="5" t="s">
        <v>131</v>
      </c>
      <c r="D4" s="5" t="s">
        <v>132</v>
      </c>
      <c r="E4" s="5" t="s">
        <v>7</v>
      </c>
    </row>
    <row r="5" customFormat="false" ht="15" hidden="false" customHeight="true" outlineLevel="0" collapsed="false">
      <c r="A5" s="31" t="s">
        <v>133</v>
      </c>
      <c r="B5" s="10" t="s">
        <v>134</v>
      </c>
      <c r="C5" s="10" t="s">
        <v>135</v>
      </c>
      <c r="D5" s="10" t="s">
        <v>136</v>
      </c>
      <c r="E5" s="10" t="s">
        <v>137</v>
      </c>
    </row>
    <row r="6" customFormat="false" ht="15" hidden="false" customHeight="true" outlineLevel="0" collapsed="false">
      <c r="A6" s="32" t="s">
        <v>138</v>
      </c>
      <c r="B6" s="33" t="s">
        <v>139</v>
      </c>
      <c r="C6" s="33" t="s">
        <v>140</v>
      </c>
      <c r="D6" s="33" t="s">
        <v>141</v>
      </c>
      <c r="E6" s="33" t="s">
        <v>142</v>
      </c>
    </row>
    <row r="7" customFormat="false" ht="15" hidden="false" customHeight="true" outlineLevel="0" collapsed="false">
      <c r="A7" s="31" t="s">
        <v>143</v>
      </c>
      <c r="B7" s="10" t="s">
        <v>144</v>
      </c>
      <c r="C7" s="10" t="s">
        <v>145</v>
      </c>
      <c r="D7" s="10" t="s">
        <v>146</v>
      </c>
      <c r="E7" s="10" t="s">
        <v>142</v>
      </c>
    </row>
    <row r="8" customFormat="false" ht="15" hidden="false" customHeight="true" outlineLevel="0" collapsed="false">
      <c r="A8" s="32" t="s">
        <v>147</v>
      </c>
      <c r="B8" s="33" t="s">
        <v>148</v>
      </c>
      <c r="C8" s="33" t="s">
        <v>149</v>
      </c>
      <c r="D8" s="33" t="s">
        <v>150</v>
      </c>
      <c r="E8" s="33" t="s">
        <v>142</v>
      </c>
    </row>
    <row r="9" customFormat="false" ht="15" hidden="false" customHeight="true" outlineLevel="0" collapsed="false">
      <c r="A9" s="31" t="s">
        <v>151</v>
      </c>
      <c r="B9" s="10" t="s">
        <v>152</v>
      </c>
      <c r="C9" s="10" t="s">
        <v>153</v>
      </c>
      <c r="D9" s="10" t="s">
        <v>154</v>
      </c>
      <c r="E9" s="10" t="s">
        <v>142</v>
      </c>
    </row>
    <row r="10" customFormat="false" ht="15" hidden="false" customHeight="true" outlineLevel="0" collapsed="false">
      <c r="A10" s="32" t="s">
        <v>155</v>
      </c>
      <c r="B10" s="33" t="s">
        <v>156</v>
      </c>
      <c r="C10" s="33" t="s">
        <v>157</v>
      </c>
      <c r="D10" s="33" t="s">
        <v>158</v>
      </c>
      <c r="E10" s="33" t="s">
        <v>142</v>
      </c>
    </row>
    <row r="11" customFormat="false" ht="15" hidden="false" customHeight="true" outlineLevel="0" collapsed="false">
      <c r="A11" s="31" t="s">
        <v>159</v>
      </c>
      <c r="B11" s="10" t="s">
        <v>160</v>
      </c>
      <c r="C11" s="10" t="s">
        <v>161</v>
      </c>
      <c r="D11" s="10" t="s">
        <v>162</v>
      </c>
      <c r="E11" s="10" t="s">
        <v>142</v>
      </c>
    </row>
    <row r="12" customFormat="false" ht="15" hidden="false" customHeight="true" outlineLevel="0" collapsed="false">
      <c r="A12" s="32" t="s">
        <v>163</v>
      </c>
      <c r="B12" s="33" t="s">
        <v>164</v>
      </c>
      <c r="C12" s="33" t="s">
        <v>165</v>
      </c>
      <c r="D12" s="33" t="s">
        <v>166</v>
      </c>
      <c r="E12" s="33" t="s">
        <v>167</v>
      </c>
    </row>
    <row r="13" customFormat="false" ht="15" hidden="false" customHeight="true" outlineLevel="0" collapsed="false">
      <c r="A13" s="31" t="s">
        <v>168</v>
      </c>
      <c r="B13" s="10" t="s">
        <v>169</v>
      </c>
      <c r="C13" s="10" t="s">
        <v>170</v>
      </c>
      <c r="D13" s="10" t="s">
        <v>171</v>
      </c>
      <c r="E13" s="10" t="s">
        <v>167</v>
      </c>
    </row>
    <row r="14" customFormat="false" ht="15" hidden="false" customHeight="true" outlineLevel="0" collapsed="false">
      <c r="A14" s="32" t="s">
        <v>172</v>
      </c>
      <c r="B14" s="33" t="s">
        <v>173</v>
      </c>
      <c r="C14" s="33" t="s">
        <v>174</v>
      </c>
      <c r="D14" s="33" t="s">
        <v>175</v>
      </c>
      <c r="E14" s="33" t="s">
        <v>176</v>
      </c>
    </row>
    <row r="15" customFormat="false" ht="15" hidden="false" customHeight="true" outlineLevel="0" collapsed="false">
      <c r="A15" s="31" t="s">
        <v>177</v>
      </c>
      <c r="B15" s="10" t="s">
        <v>178</v>
      </c>
      <c r="C15" s="10" t="s">
        <v>179</v>
      </c>
      <c r="D15" s="10" t="s">
        <v>179</v>
      </c>
      <c r="E15" s="10" t="s">
        <v>180</v>
      </c>
    </row>
    <row r="18" customFormat="false" ht="15" hidden="false" customHeight="true" outlineLevel="0" collapsed="false">
      <c r="A18" s="3" t="s">
        <v>181</v>
      </c>
    </row>
    <row r="19" customFormat="false" ht="15" hidden="false" customHeight="true" outlineLevel="0" collapsed="false">
      <c r="A19" s="5" t="s">
        <v>182</v>
      </c>
      <c r="B19" s="5" t="s">
        <v>183</v>
      </c>
      <c r="C19" s="5" t="s">
        <v>184</v>
      </c>
      <c r="D19" s="5" t="s">
        <v>185</v>
      </c>
      <c r="E19" s="5" t="s">
        <v>186</v>
      </c>
    </row>
    <row r="20" customFormat="false" ht="15" hidden="false" customHeight="true" outlineLevel="0" collapsed="false">
      <c r="A20" s="34" t="s">
        <v>187</v>
      </c>
      <c r="B20" s="34" t="s">
        <v>136</v>
      </c>
      <c r="C20" s="34" t="s">
        <v>188</v>
      </c>
      <c r="D20" s="34" t="s">
        <v>189</v>
      </c>
      <c r="E20" s="34" t="s">
        <v>190</v>
      </c>
    </row>
    <row r="21" customFormat="false" ht="15" hidden="false" customHeight="true" outlineLevel="0" collapsed="false">
      <c r="A21" s="34" t="s">
        <v>191</v>
      </c>
      <c r="B21" s="34" t="s">
        <v>154</v>
      </c>
      <c r="C21" s="34" t="s">
        <v>188</v>
      </c>
      <c r="D21" s="34" t="s">
        <v>192</v>
      </c>
      <c r="E21" s="34" t="s">
        <v>193</v>
      </c>
    </row>
    <row r="22" customFormat="false" ht="15" hidden="false" customHeight="true" outlineLevel="0" collapsed="false">
      <c r="A22" s="34" t="s">
        <v>194</v>
      </c>
      <c r="B22" s="34" t="s">
        <v>175</v>
      </c>
      <c r="C22" s="34" t="s">
        <v>188</v>
      </c>
      <c r="D22" s="34" t="s">
        <v>195</v>
      </c>
      <c r="E22" s="34" t="s">
        <v>196</v>
      </c>
    </row>
    <row r="23" customFormat="false" ht="15" hidden="false" customHeight="true" outlineLevel="0" collapsed="false">
      <c r="A23" s="35" t="s">
        <v>197</v>
      </c>
      <c r="B23" s="35" t="s">
        <v>179</v>
      </c>
      <c r="C23" s="35" t="s">
        <v>198</v>
      </c>
      <c r="D23" s="35" t="s">
        <v>198</v>
      </c>
      <c r="E23" s="35" t="s">
        <v>199</v>
      </c>
    </row>
    <row r="24" customFormat="false" ht="15" hidden="false" customHeight="true" outlineLevel="0" collapsed="false">
      <c r="A24" s="35" t="s">
        <v>200</v>
      </c>
      <c r="B24" s="35" t="s">
        <v>179</v>
      </c>
      <c r="C24" s="35" t="s">
        <v>198</v>
      </c>
      <c r="D24" s="35" t="s">
        <v>198</v>
      </c>
      <c r="E24" s="35" t="s">
        <v>199</v>
      </c>
    </row>
    <row r="25" customFormat="false" ht="15" hidden="false" customHeight="true" outlineLevel="0" collapsed="false">
      <c r="A25" s="35" t="s">
        <v>201</v>
      </c>
      <c r="B25" s="35" t="s">
        <v>179</v>
      </c>
      <c r="C25" s="35" t="s">
        <v>179</v>
      </c>
      <c r="D25" s="35" t="s">
        <v>179</v>
      </c>
      <c r="E25" s="35" t="s">
        <v>202</v>
      </c>
    </row>
    <row r="28" customFormat="false" ht="15" hidden="false" customHeight="true" outlineLevel="0" collapsed="false">
      <c r="A28" s="3" t="s">
        <v>203</v>
      </c>
    </row>
    <row r="29" customFormat="false" ht="15" hidden="false" customHeight="true" outlineLevel="0" collapsed="false">
      <c r="A29" s="5" t="s">
        <v>204</v>
      </c>
      <c r="B29" s="5" t="s">
        <v>205</v>
      </c>
      <c r="C29" s="5" t="s">
        <v>206</v>
      </c>
      <c r="D29" s="5" t="s">
        <v>7</v>
      </c>
    </row>
    <row r="30" customFormat="false" ht="15" hidden="false" customHeight="true" outlineLevel="0" collapsed="false">
      <c r="A30" s="36" t="s">
        <v>207</v>
      </c>
      <c r="B30" s="36" t="s">
        <v>208</v>
      </c>
      <c r="C30" s="36" t="s">
        <v>209</v>
      </c>
      <c r="D30" s="36" t="s">
        <v>210</v>
      </c>
    </row>
    <row r="31" customFormat="false" ht="15" hidden="false" customHeight="true" outlineLevel="0" collapsed="false">
      <c r="A31" s="37" t="s">
        <v>211</v>
      </c>
      <c r="B31" s="37" t="s">
        <v>212</v>
      </c>
      <c r="C31" s="37" t="s">
        <v>213</v>
      </c>
      <c r="D31" s="37" t="s">
        <v>214</v>
      </c>
    </row>
    <row r="32" customFormat="false" ht="15" hidden="false" customHeight="true" outlineLevel="0" collapsed="false">
      <c r="A32" s="36" t="s">
        <v>215</v>
      </c>
      <c r="B32" s="36" t="s">
        <v>216</v>
      </c>
      <c r="C32" s="36" t="s">
        <v>217</v>
      </c>
      <c r="D32" s="36" t="s">
        <v>218</v>
      </c>
    </row>
    <row r="33" customFormat="false" ht="15" hidden="false" customHeight="true" outlineLevel="0" collapsed="false">
      <c r="A33" s="37" t="s">
        <v>219</v>
      </c>
      <c r="B33" s="37" t="s">
        <v>216</v>
      </c>
      <c r="C33" s="37" t="s">
        <v>220</v>
      </c>
      <c r="D33" s="37" t="s">
        <v>221</v>
      </c>
    </row>
    <row r="34" customFormat="false" ht="15" hidden="false" customHeight="true" outlineLevel="0" collapsed="false">
      <c r="A34" s="36" t="s">
        <v>222</v>
      </c>
      <c r="B34" s="36" t="s">
        <v>216</v>
      </c>
      <c r="C34" s="36" t="s">
        <v>223</v>
      </c>
      <c r="D34" s="36" t="s">
        <v>224</v>
      </c>
    </row>
    <row r="35" customFormat="false" ht="15" hidden="false" customHeight="true" outlineLevel="0" collapsed="false">
      <c r="A35" s="37" t="s">
        <v>225</v>
      </c>
      <c r="B35" s="37" t="s">
        <v>216</v>
      </c>
      <c r="C35" s="37" t="s">
        <v>226</v>
      </c>
      <c r="D35" s="37" t="s">
        <v>227</v>
      </c>
    </row>
    <row r="36" customFormat="false" ht="15" hidden="false" customHeight="true" outlineLevel="0" collapsed="false">
      <c r="A36" s="36" t="s">
        <v>228</v>
      </c>
      <c r="B36" s="36" t="s">
        <v>229</v>
      </c>
      <c r="C36" s="36" t="s">
        <v>230</v>
      </c>
      <c r="D36" s="36" t="s">
        <v>231</v>
      </c>
    </row>
    <row r="37" customFormat="false" ht="15" hidden="false" customHeight="true" outlineLevel="0" collapsed="false">
      <c r="A37" s="37" t="s">
        <v>232</v>
      </c>
      <c r="B37" s="37" t="s">
        <v>233</v>
      </c>
      <c r="C37" s="37" t="s">
        <v>230</v>
      </c>
      <c r="D37" s="37" t="s">
        <v>234</v>
      </c>
    </row>
    <row r="38" customFormat="false" ht="15" hidden="false" customHeight="true" outlineLevel="0" collapsed="false">
      <c r="A38" s="36" t="s">
        <v>235</v>
      </c>
      <c r="B38" s="36" t="s">
        <v>236</v>
      </c>
      <c r="C38" s="36" t="s">
        <v>237</v>
      </c>
      <c r="D38" s="36" t="s">
        <v>238</v>
      </c>
    </row>
    <row r="39" customFormat="false" ht="15" hidden="false" customHeight="true" outlineLevel="0" collapsed="false">
      <c r="A39" s="37" t="s">
        <v>239</v>
      </c>
      <c r="B39" s="37" t="s">
        <v>240</v>
      </c>
      <c r="C39" s="37" t="s">
        <v>241</v>
      </c>
      <c r="D39" s="37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20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243</v>
      </c>
    </row>
    <row r="3" customFormat="false" ht="15" hidden="false" customHeight="true" outlineLevel="0" collapsed="false">
      <c r="A3" s="3" t="s">
        <v>244</v>
      </c>
    </row>
    <row r="4" customFormat="false" ht="15" hidden="false" customHeight="true" outlineLevel="0" collapsed="false">
      <c r="A4" s="5" t="s">
        <v>245</v>
      </c>
      <c r="B4" s="5" t="s">
        <v>246</v>
      </c>
      <c r="C4" s="5" t="s">
        <v>247</v>
      </c>
      <c r="D4" s="5" t="s">
        <v>248</v>
      </c>
    </row>
    <row r="5" customFormat="false" ht="15" hidden="false" customHeight="true" outlineLevel="0" collapsed="false">
      <c r="A5" s="38" t="s">
        <v>249</v>
      </c>
      <c r="B5" s="38" t="s">
        <v>250</v>
      </c>
      <c r="C5" s="38" t="s">
        <v>251</v>
      </c>
      <c r="D5" s="38" t="s">
        <v>252</v>
      </c>
    </row>
    <row r="6" customFormat="false" ht="15" hidden="false" customHeight="true" outlineLevel="0" collapsed="false">
      <c r="A6" s="38" t="s">
        <v>253</v>
      </c>
      <c r="B6" s="38" t="s">
        <v>254</v>
      </c>
      <c r="C6" s="38" t="s">
        <v>255</v>
      </c>
      <c r="D6" s="38" t="s">
        <v>256</v>
      </c>
    </row>
    <row r="7" customFormat="false" ht="15" hidden="false" customHeight="true" outlineLevel="0" collapsed="false">
      <c r="A7" s="38" t="s">
        <v>257</v>
      </c>
      <c r="B7" s="38" t="s">
        <v>258</v>
      </c>
      <c r="C7" s="38" t="s">
        <v>259</v>
      </c>
      <c r="D7" s="38" t="s">
        <v>260</v>
      </c>
    </row>
    <row r="8" customFormat="false" ht="15" hidden="false" customHeight="true" outlineLevel="0" collapsed="false">
      <c r="A8" s="38" t="s">
        <v>261</v>
      </c>
      <c r="B8" s="38" t="s">
        <v>262</v>
      </c>
      <c r="C8" s="38" t="s">
        <v>263</v>
      </c>
      <c r="D8" s="38" t="s">
        <v>264</v>
      </c>
    </row>
    <row r="9" customFormat="false" ht="15" hidden="false" customHeight="true" outlineLevel="0" collapsed="false">
      <c r="A9" s="38" t="s">
        <v>265</v>
      </c>
      <c r="B9" s="38" t="s">
        <v>266</v>
      </c>
      <c r="C9" s="38" t="s">
        <v>267</v>
      </c>
      <c r="D9" s="38" t="s">
        <v>268</v>
      </c>
    </row>
    <row r="10" customFormat="false" ht="15" hidden="false" customHeight="true" outlineLevel="0" collapsed="false">
      <c r="A10" s="38" t="s">
        <v>269</v>
      </c>
      <c r="B10" s="38" t="s">
        <v>270</v>
      </c>
      <c r="C10" s="38" t="s">
        <v>271</v>
      </c>
      <c r="D10" s="38" t="s">
        <v>272</v>
      </c>
    </row>
    <row r="11" customFormat="false" ht="15" hidden="false" customHeight="true" outlineLevel="0" collapsed="false">
      <c r="A11" s="38" t="s">
        <v>273</v>
      </c>
      <c r="B11" s="38" t="s">
        <v>274</v>
      </c>
      <c r="C11" s="38" t="s">
        <v>275</v>
      </c>
      <c r="D11" s="38" t="s">
        <v>270</v>
      </c>
    </row>
    <row r="12" customFormat="false" ht="15" hidden="false" customHeight="true" outlineLevel="0" collapsed="false">
      <c r="A12" s="38" t="s">
        <v>276</v>
      </c>
      <c r="B12" s="38" t="s">
        <v>277</v>
      </c>
      <c r="C12" s="38" t="s">
        <v>278</v>
      </c>
      <c r="D12" s="38" t="s">
        <v>279</v>
      </c>
    </row>
    <row r="13" customFormat="false" ht="15" hidden="false" customHeight="true" outlineLevel="0" collapsed="false">
      <c r="A13" s="38" t="s">
        <v>280</v>
      </c>
      <c r="B13" s="38" t="s">
        <v>281</v>
      </c>
      <c r="C13" s="38" t="s">
        <v>282</v>
      </c>
      <c r="D13" s="38" t="s">
        <v>283</v>
      </c>
    </row>
    <row r="14" customFormat="false" ht="15" hidden="false" customHeight="true" outlineLevel="0" collapsed="false">
      <c r="A14" s="38" t="s">
        <v>284</v>
      </c>
      <c r="B14" s="38" t="s">
        <v>285</v>
      </c>
      <c r="C14" s="38" t="s">
        <v>286</v>
      </c>
      <c r="D14" s="38" t="s">
        <v>287</v>
      </c>
    </row>
    <row r="17" customFormat="false" ht="15" hidden="false" customHeight="true" outlineLevel="0" collapsed="false">
      <c r="A17" s="3" t="s">
        <v>288</v>
      </c>
    </row>
    <row r="18" customFormat="false" ht="15" hidden="false" customHeight="true" outlineLevel="0" collapsed="false">
      <c r="A18" s="39" t="s">
        <v>289</v>
      </c>
      <c r="B18" s="39"/>
      <c r="C18" s="39"/>
      <c r="D18" s="39"/>
    </row>
    <row r="19" customFormat="false" ht="15" hidden="false" customHeight="true" outlineLevel="0" collapsed="false">
      <c r="A19" s="39" t="s">
        <v>290</v>
      </c>
      <c r="B19" s="39"/>
      <c r="C19" s="39"/>
      <c r="D19" s="39"/>
    </row>
    <row r="20" customFormat="false" ht="15" hidden="false" customHeight="true" outlineLevel="0" collapsed="false">
      <c r="A20" s="39" t="s">
        <v>291</v>
      </c>
      <c r="B20" s="39"/>
      <c r="C20" s="39"/>
      <c r="D20" s="39"/>
    </row>
    <row r="21" customFormat="false" ht="15" hidden="false" customHeight="true" outlineLevel="0" collapsed="false">
      <c r="A21" s="39" t="s">
        <v>292</v>
      </c>
      <c r="B21" s="39"/>
      <c r="C21" s="39"/>
      <c r="D21" s="39"/>
    </row>
    <row r="22" customFormat="false" ht="15" hidden="false" customHeight="true" outlineLevel="0" collapsed="false">
      <c r="A22" s="39" t="s">
        <v>293</v>
      </c>
      <c r="B22" s="39"/>
      <c r="C22" s="39"/>
      <c r="D22" s="39"/>
    </row>
    <row r="23" customFormat="false" ht="15" hidden="false" customHeight="true" outlineLevel="0" collapsed="false">
      <c r="A23" s="39" t="s">
        <v>294</v>
      </c>
      <c r="B23" s="39"/>
      <c r="C23" s="39"/>
      <c r="D23" s="39"/>
    </row>
    <row r="24" customFormat="false" ht="15" hidden="false" customHeight="true" outlineLevel="0" collapsed="false">
      <c r="A24" s="39" t="s">
        <v>295</v>
      </c>
      <c r="B24" s="39"/>
      <c r="C24" s="39"/>
      <c r="D24" s="39"/>
    </row>
    <row r="25" customFormat="false" ht="15" hidden="false" customHeight="true" outlineLevel="0" collapsed="false">
      <c r="A25" s="39" t="s">
        <v>296</v>
      </c>
      <c r="B25" s="39"/>
      <c r="C25" s="39"/>
      <c r="D25" s="39"/>
    </row>
    <row r="26" customFormat="false" ht="15" hidden="false" customHeight="true" outlineLevel="0" collapsed="false">
      <c r="A26" s="39" t="s">
        <v>297</v>
      </c>
      <c r="B26" s="39"/>
      <c r="C26" s="39"/>
      <c r="D26" s="39"/>
    </row>
    <row r="27" customFormat="false" ht="15" hidden="false" customHeight="true" outlineLevel="0" collapsed="false">
      <c r="A27" s="39" t="s">
        <v>298</v>
      </c>
      <c r="B27" s="39"/>
      <c r="C27" s="39"/>
      <c r="D27" s="39"/>
    </row>
    <row r="28" customFormat="false" ht="15" hidden="false" customHeight="true" outlineLevel="0" collapsed="false">
      <c r="A28" s="39" t="s">
        <v>299</v>
      </c>
      <c r="B28" s="39"/>
      <c r="C28" s="39"/>
      <c r="D28" s="39"/>
    </row>
    <row r="29" customFormat="false" ht="15" hidden="false" customHeight="true" outlineLevel="0" collapsed="false">
      <c r="A29" s="39" t="s">
        <v>300</v>
      </c>
      <c r="B29" s="39"/>
      <c r="C29" s="39"/>
      <c r="D29" s="39"/>
    </row>
  </sheetData>
  <mergeCells count="12"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2026-03-26T21:39:32Z</dcterms:created>
  <dc:creator>openpyxl</dc:creator>
  <dc:description/>
  <dc:language>en-US</dc:language>
  <cp:lastModifiedBy/>
  <dcterms:modified xsi:type="dcterms:W3CDTF">2026-03-27T05:01:04Z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